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 BUSTAMANTE\Documents\e-SUN POWER\"/>
    </mc:Choice>
  </mc:AlternateContent>
  <xr:revisionPtr revIDLastSave="0" documentId="8_{3C14FDD3-010F-494F-BAB9-04CAC7A16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UCTURA APU" sheetId="1" r:id="rId1"/>
    <sheet name="FUENTES" sheetId="2" r:id="rId2"/>
    <sheet name="PARAME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F17" i="1" s="1"/>
  <c r="F18" i="1" s="1"/>
  <c r="F23" i="1"/>
  <c r="D23" i="1"/>
  <c r="D22" i="1"/>
  <c r="F22" i="1" s="1"/>
  <c r="F24" i="1" s="1"/>
  <c r="F12" i="1"/>
  <c r="D11" i="1"/>
  <c r="F11" i="1" s="1"/>
  <c r="F13" i="1" s="1"/>
  <c r="F6" i="1"/>
  <c r="F7" i="1" s="1"/>
  <c r="F27" i="1" l="1"/>
  <c r="F28" i="1" l="1"/>
  <c r="F29" i="1" s="1"/>
  <c r="B13" i="3"/>
</calcChain>
</file>

<file path=xl/sharedStrings.xml><?xml version="1.0" encoding="utf-8"?>
<sst xmlns="http://schemas.openxmlformats.org/spreadsheetml/2006/main" count="135" uniqueCount="102">
  <si>
    <t>SUMINISTRO E INSTALACIÓN DE CABLE PRYSMIANGROUP 6 mm² – 99000701 / 313 – APU 2026</t>
  </si>
  <si>
    <t>Unidad de pago: metro lineal instalado. Incluye suministro del cable, desperdicio, transporte, tendido por ductos subterráneos mediante cuadrilla de linieros y ayudantes, y malacate eléctrico con winche. No incluye terminales, conectores, pruebas eléctricas ni obra civil.</t>
  </si>
  <si>
    <t>1. MATERIALES E INSUMOS</t>
  </si>
  <si>
    <t>Ítem</t>
  </si>
  <si>
    <t>Material / recurso</t>
  </si>
  <si>
    <t>Unidad</t>
  </si>
  <si>
    <t>Cantidad / ML</t>
  </si>
  <si>
    <t>Precio unitario</t>
  </si>
  <si>
    <t>Valor parcial / ML</t>
  </si>
  <si>
    <t>Cable PrysmianGroup 6 mm² – 99000701 / 313</t>
  </si>
  <si>
    <t>ML</t>
  </si>
  <si>
    <t>SUBTOTAL MATERIALES E INSUMOS</t>
  </si>
  <si>
    <t>2. MAQUINARIA, EQUIPOS Y HERRAMIENTA</t>
  </si>
  <si>
    <t>Malacate eléctrico con winche para tendido de cable</t>
  </si>
  <si>
    <t>DÍA</t>
  </si>
  <si>
    <t>Herramienta menor de tendido y manipulación</t>
  </si>
  <si>
    <t>SUBTOTAL EQUIPOS/HERRAMIENTA</t>
  </si>
  <si>
    <t>3. TRANSPORTE</t>
  </si>
  <si>
    <t>Transporte terrestre de cable en carrete, bodega Barranquilla → obra Galapa</t>
  </si>
  <si>
    <t>VIAJE</t>
  </si>
  <si>
    <t>SUBTOTAL TRANSPORTE</t>
  </si>
  <si>
    <t>4. MANO DE OBRA – TENDIDO POR DUCTOS SUBTERRÁNEOS</t>
  </si>
  <si>
    <t>Liniero categoría 2 – tendido de cable</t>
  </si>
  <si>
    <t>Ayudante eléctrico – tendido y alimentación de cable</t>
  </si>
  <si>
    <t>SUBTOTAL MANO DE OBRA</t>
  </si>
  <si>
    <t>5. RESUMEN</t>
  </si>
  <si>
    <t>Costo directo antes de IVA / ML</t>
  </si>
  <si>
    <t>IVA 19%</t>
  </si>
  <si>
    <t>Total con IVA / ML</t>
  </si>
  <si>
    <t>6. PARÁMETROS, RENDIMIENTO Y ALCANCE</t>
  </si>
  <si>
    <t>• Precio del cable: $12.500/ML antes de IVA, suministrado por el usuario.</t>
  </si>
  <si>
    <t>• Desperdicio adoptado: 2% del cable, equivalente a 1,02 ML de suministro por cada 1,00 ML instalado.</t>
  </si>
  <si>
    <t>• Rendimiento adoptado: 500 ML/día con cuadrilla de 2 linieros categoría 2 + 2 ayudantes eléctricos y malacate eléctrico. Es un rendimiento presupuestal conservador; debe ajustarse según longitud de ductos, número de curvas, registros y condiciones reales.</t>
  </si>
  <si>
    <t>• Mano de obra 2026 de referencia: liniero cat. 2 $202.692/día y ayudante eléctrico $197.479/día con prestaciones, según base APU consultada.</t>
  </si>
  <si>
    <t>• Malacate eléctrico con winche: $350.000/día como valor presupuestal. Se tomó como referencia de mercado el alquiler de equipos de tendido y cotizaciones de malacates/winches eléctricos.</t>
  </si>
  <si>
    <t>• Transporte: $1.200.000/viaje, prorrateado sobre 1.000 ML por viaje = $1.200/ML. Debe reemplazarse por cotización real según cantidad de cable y origen/destino.</t>
  </si>
  <si>
    <t>• Herramienta menor: 3% del costo de mano de obra, equivalente a $48,03/ML.</t>
  </si>
  <si>
    <t>• El APU corresponde exclusivamente al suministro y tendido del cable dentro de ductos existentes. No incluye excavación, construcción de ductos/registros, mandrilado o limpieza previa de ductos, terminales, MC4, conectores, empalmes, pruebas de aislamiento/continuidad, certificación RETIE ni puesta en servicio.</t>
  </si>
  <si>
    <t>• IVA 19% mostrado separadamente. El cable fue suministrado por el usuario como precio + IVA.</t>
  </si>
  <si>
    <t>FUENTES Y CRITERIOS</t>
  </si>
  <si>
    <t>Concepto</t>
  </si>
  <si>
    <t>Fuente</t>
  </si>
  <si>
    <t>Dato utilizado</t>
  </si>
  <si>
    <t>Observación</t>
  </si>
  <si>
    <t>Cable Prysmian</t>
  </si>
  <si>
    <t>Prysmian Colombia</t>
  </si>
  <si>
    <t>Cable PV disponible en cobre flexible 4–16 mm²; aplicaciones fotovoltaicas; 1,8 kV DC; RETIE/NTC</t>
  </si>
  <si>
    <t>La página oficial confirma la familia y características, pero no publica en abierto el precio ni permite verificar específicamente el código 99000701/313.</t>
  </si>
  <si>
    <t>Precio cable</t>
  </si>
  <si>
    <t>Usuario</t>
  </si>
  <si>
    <t>$12.500/ML + IVA</t>
  </si>
  <si>
    <t>Se conserva como precio contractual de suministro indicado.</t>
  </si>
  <si>
    <t>Liniero cat. 2</t>
  </si>
  <si>
    <t>Base de datos APU 2Q 2026</t>
  </si>
  <si>
    <t>$202.692/día</t>
  </si>
  <si>
    <t>Valor con jornal + prestaciones publicado en la base consultada.</t>
  </si>
  <si>
    <t>Ayudante eléctrico</t>
  </si>
  <si>
    <t>$197.479/día</t>
  </si>
  <si>
    <t>Malacate / winche</t>
  </si>
  <si>
    <t>Cotizaciones y referencias de mercado 2026</t>
  </si>
  <si>
    <t>$350.000/día adoptado</t>
  </si>
  <si>
    <t>Valor presupuestal; cotizar alquiler especializado para tendido de cable.</t>
  </si>
  <si>
    <t>Transporte</t>
  </si>
  <si>
    <t>Supuesto APU</t>
  </si>
  <si>
    <t>$1.200.000/viaje; 1.000 ML/viaje</t>
  </si>
  <si>
    <t>Debe ajustarse al volumen de cable, carrete, vehículo y ruta.</t>
  </si>
  <si>
    <t>Rendimiento</t>
  </si>
  <si>
    <t>Criterio APU</t>
  </si>
  <si>
    <t>500 ML/día</t>
  </si>
  <si>
    <t>Supuesto de presupuesto; validar en campo.</t>
  </si>
  <si>
    <t>Parámetro</t>
  </si>
  <si>
    <t>Valor</t>
  </si>
  <si>
    <t>Nota</t>
  </si>
  <si>
    <t>$/ML</t>
  </si>
  <si>
    <t>Antes de IVA</t>
  </si>
  <si>
    <t>Desperdicio</t>
  </si>
  <si>
    <t>%</t>
  </si>
  <si>
    <t>2%</t>
  </si>
  <si>
    <t>Cantidad cable APU</t>
  </si>
  <si>
    <t>ML/ML instalado</t>
  </si>
  <si>
    <t>Incluye desperdicio</t>
  </si>
  <si>
    <t>Rendimiento cuadrilla</t>
  </si>
  <si>
    <t>ML/día</t>
  </si>
  <si>
    <t>2 linieros + 2 ayudantes</t>
  </si>
  <si>
    <t>Linieros</t>
  </si>
  <si>
    <t>personas</t>
  </si>
  <si>
    <t>Cat. 2</t>
  </si>
  <si>
    <t>Ayudantes eléctricos</t>
  </si>
  <si>
    <t>Jornal liniero</t>
  </si>
  <si>
    <t>$/día</t>
  </si>
  <si>
    <t>Con prestaciones</t>
  </si>
  <si>
    <t>Jornal ayudante eléctrico</t>
  </si>
  <si>
    <t>Malacate eléctrico</t>
  </si>
  <si>
    <t>Presupuesto</t>
  </si>
  <si>
    <t>$/viaje</t>
  </si>
  <si>
    <t>ML por viaje</t>
  </si>
  <si>
    <t>ML/viaje</t>
  </si>
  <si>
    <t>Prorrateo</t>
  </si>
  <si>
    <t>Transporte unitario</t>
  </si>
  <si>
    <t>Fórmula</t>
  </si>
  <si>
    <t>IVA</t>
  </si>
  <si>
    <t>Mostrar separado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</si>
</sst>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44" fontId="1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0" borderId="1" xfId="0" applyNumberFormat="1" applyBorder="1"/>
    <xf numFmtId="0" fontId="0" fillId="0" borderId="2" xfId="0" applyBorder="1"/>
    <xf numFmtId="0" fontId="4" fillId="2" borderId="2" xfId="0" applyFont="1" applyFill="1" applyBorder="1" applyAlignment="1">
      <alignment horizontal="center"/>
    </xf>
    <xf numFmtId="164" fontId="0" fillId="0" borderId="2" xfId="1" applyNumberFormat="1" applyFont="1" applyBorder="1"/>
    <xf numFmtId="164" fontId="0" fillId="0" borderId="2" xfId="0" applyNumberFormat="1" applyBorder="1"/>
    <xf numFmtId="164" fontId="3" fillId="4" borderId="2" xfId="0" applyNumberFormat="1" applyFont="1" applyFill="1" applyBorder="1"/>
    <xf numFmtId="44" fontId="0" fillId="0" borderId="2" xfId="1" applyFont="1" applyBorder="1"/>
    <xf numFmtId="44" fontId="0" fillId="0" borderId="2" xfId="0" applyNumberFormat="1" applyBorder="1"/>
    <xf numFmtId="44" fontId="4" fillId="2" borderId="2" xfId="1" applyFont="1" applyFill="1" applyBorder="1" applyAlignment="1">
      <alignment horizontal="center"/>
    </xf>
    <xf numFmtId="44" fontId="4" fillId="2" borderId="2" xfId="0" applyNumberFormat="1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0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4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A18" sqref="A18:E18"/>
    </sheetView>
  </sheetViews>
  <sheetFormatPr baseColWidth="10" defaultRowHeight="14.4" x14ac:dyDescent="0.3"/>
  <cols>
    <col min="1" max="1" width="11" bestFit="1" customWidth="1"/>
    <col min="2" max="2" width="72" bestFit="1" customWidth="1"/>
    <col min="3" max="3" width="14" customWidth="1"/>
    <col min="4" max="5" width="18" bestFit="1" customWidth="1"/>
    <col min="6" max="6" width="20" bestFit="1" customWidth="1"/>
  </cols>
  <sheetData>
    <row r="1" spans="1:6" ht="18" x14ac:dyDescent="0.35">
      <c r="A1" s="26" t="s">
        <v>0</v>
      </c>
      <c r="B1" s="26"/>
      <c r="C1" s="26"/>
      <c r="D1" s="26"/>
      <c r="E1" s="26"/>
      <c r="F1" s="26"/>
    </row>
    <row r="2" spans="1:6" ht="52.05" customHeight="1" x14ac:dyDescent="0.3">
      <c r="A2" s="24" t="s">
        <v>1</v>
      </c>
      <c r="B2" s="20"/>
      <c r="C2" s="20"/>
      <c r="D2" s="20"/>
      <c r="E2" s="20"/>
      <c r="F2" s="20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27" t="s">
        <v>2</v>
      </c>
      <c r="B4" s="22"/>
      <c r="C4" s="22"/>
      <c r="D4" s="22"/>
      <c r="E4" s="22"/>
      <c r="F4" s="22"/>
    </row>
    <row r="5" spans="1:6" x14ac:dyDescent="0.3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6" x14ac:dyDescent="0.3">
      <c r="A6" s="6">
        <v>1</v>
      </c>
      <c r="B6" s="6" t="s">
        <v>9</v>
      </c>
      <c r="C6" s="6" t="s">
        <v>10</v>
      </c>
      <c r="D6" s="6">
        <v>1.02</v>
      </c>
      <c r="E6" s="8">
        <v>12500</v>
      </c>
      <c r="F6" s="9">
        <f>D6*E6</f>
        <v>12750</v>
      </c>
    </row>
    <row r="7" spans="1:6" x14ac:dyDescent="0.3">
      <c r="A7" s="21" t="s">
        <v>11</v>
      </c>
      <c r="B7" s="21"/>
      <c r="C7" s="21"/>
      <c r="D7" s="21"/>
      <c r="E7" s="21"/>
      <c r="F7" s="10">
        <f>SUM(F6:F6)</f>
        <v>12750</v>
      </c>
    </row>
    <row r="8" spans="1:6" x14ac:dyDescent="0.3">
      <c r="A8" s="6"/>
      <c r="B8" s="6"/>
      <c r="C8" s="6"/>
      <c r="D8" s="6"/>
      <c r="E8" s="11"/>
      <c r="F8" s="12"/>
    </row>
    <row r="9" spans="1:6" x14ac:dyDescent="0.3">
      <c r="A9" s="22" t="s">
        <v>12</v>
      </c>
      <c r="B9" s="22"/>
      <c r="C9" s="22"/>
      <c r="D9" s="22"/>
      <c r="E9" s="22"/>
      <c r="F9" s="22"/>
    </row>
    <row r="10" spans="1:6" x14ac:dyDescent="0.3">
      <c r="A10" s="7" t="s">
        <v>3</v>
      </c>
      <c r="B10" s="7" t="s">
        <v>4</v>
      </c>
      <c r="C10" s="7" t="s">
        <v>5</v>
      </c>
      <c r="D10" s="7" t="s">
        <v>6</v>
      </c>
      <c r="E10" s="13" t="s">
        <v>7</v>
      </c>
      <c r="F10" s="14" t="s">
        <v>8</v>
      </c>
    </row>
    <row r="11" spans="1:6" x14ac:dyDescent="0.3">
      <c r="A11" s="6">
        <v>1</v>
      </c>
      <c r="B11" s="6" t="s">
        <v>13</v>
      </c>
      <c r="C11" s="6" t="s">
        <v>14</v>
      </c>
      <c r="D11" s="6">
        <f>1/500</f>
        <v>2E-3</v>
      </c>
      <c r="E11" s="8">
        <v>350000</v>
      </c>
      <c r="F11" s="9">
        <f>D11*E11</f>
        <v>700</v>
      </c>
    </row>
    <row r="12" spans="1:6" x14ac:dyDescent="0.3">
      <c r="A12" s="6">
        <v>2</v>
      </c>
      <c r="B12" s="6" t="s">
        <v>15</v>
      </c>
      <c r="C12" s="6" t="s">
        <v>10</v>
      </c>
      <c r="D12" s="6">
        <v>1</v>
      </c>
      <c r="E12" s="8">
        <v>48.03</v>
      </c>
      <c r="F12" s="9">
        <f>D12*E12</f>
        <v>48.03</v>
      </c>
    </row>
    <row r="13" spans="1:6" x14ac:dyDescent="0.3">
      <c r="A13" s="21" t="s">
        <v>16</v>
      </c>
      <c r="B13" s="21"/>
      <c r="C13" s="21"/>
      <c r="D13" s="21"/>
      <c r="E13" s="21"/>
      <c r="F13" s="10">
        <f>SUM(F11:F12)</f>
        <v>748.03</v>
      </c>
    </row>
    <row r="14" spans="1:6" x14ac:dyDescent="0.3">
      <c r="A14" s="6"/>
      <c r="B14" s="6"/>
      <c r="C14" s="6"/>
      <c r="D14" s="6"/>
      <c r="E14" s="11"/>
      <c r="F14" s="12"/>
    </row>
    <row r="15" spans="1:6" x14ac:dyDescent="0.3">
      <c r="A15" s="22" t="s">
        <v>17</v>
      </c>
      <c r="B15" s="22"/>
      <c r="C15" s="22"/>
      <c r="D15" s="22"/>
      <c r="E15" s="22"/>
      <c r="F15" s="22"/>
    </row>
    <row r="16" spans="1:6" x14ac:dyDescent="0.3">
      <c r="A16" s="7" t="s">
        <v>3</v>
      </c>
      <c r="B16" s="7" t="s">
        <v>4</v>
      </c>
      <c r="C16" s="7" t="s">
        <v>5</v>
      </c>
      <c r="D16" s="7" t="s">
        <v>6</v>
      </c>
      <c r="E16" s="13" t="s">
        <v>7</v>
      </c>
      <c r="F16" s="14" t="s">
        <v>8</v>
      </c>
    </row>
    <row r="17" spans="1:6" x14ac:dyDescent="0.3">
      <c r="A17" s="6">
        <v>1</v>
      </c>
      <c r="B17" s="6" t="s">
        <v>18</v>
      </c>
      <c r="C17" s="6" t="s">
        <v>19</v>
      </c>
      <c r="D17" s="6">
        <f>1/2500</f>
        <v>4.0000000000000002E-4</v>
      </c>
      <c r="E17" s="8">
        <v>1200000</v>
      </c>
      <c r="F17" s="9">
        <f>D17*E17</f>
        <v>480</v>
      </c>
    </row>
    <row r="18" spans="1:6" x14ac:dyDescent="0.3">
      <c r="A18" s="21" t="s">
        <v>20</v>
      </c>
      <c r="B18" s="21"/>
      <c r="C18" s="21"/>
      <c r="D18" s="21"/>
      <c r="E18" s="21"/>
      <c r="F18" s="10">
        <f>SUM(F17:F17)</f>
        <v>480</v>
      </c>
    </row>
    <row r="19" spans="1:6" x14ac:dyDescent="0.3">
      <c r="A19" s="6"/>
      <c r="B19" s="6"/>
      <c r="C19" s="6"/>
      <c r="D19" s="6"/>
      <c r="E19" s="11"/>
      <c r="F19" s="12"/>
    </row>
    <row r="20" spans="1:6" x14ac:dyDescent="0.3">
      <c r="A20" s="22" t="s">
        <v>21</v>
      </c>
      <c r="B20" s="22"/>
      <c r="C20" s="22"/>
      <c r="D20" s="22"/>
      <c r="E20" s="22"/>
      <c r="F20" s="22"/>
    </row>
    <row r="21" spans="1:6" x14ac:dyDescent="0.3">
      <c r="A21" s="7" t="s">
        <v>3</v>
      </c>
      <c r="B21" s="7" t="s">
        <v>4</v>
      </c>
      <c r="C21" s="7" t="s">
        <v>5</v>
      </c>
      <c r="D21" s="7" t="s">
        <v>6</v>
      </c>
      <c r="E21" s="13" t="s">
        <v>7</v>
      </c>
      <c r="F21" s="14" t="s">
        <v>8</v>
      </c>
    </row>
    <row r="22" spans="1:6" x14ac:dyDescent="0.3">
      <c r="A22" s="6">
        <v>1</v>
      </c>
      <c r="B22" s="6" t="s">
        <v>22</v>
      </c>
      <c r="C22" s="6" t="s">
        <v>14</v>
      </c>
      <c r="D22" s="6">
        <f>2/500</f>
        <v>4.0000000000000001E-3</v>
      </c>
      <c r="E22" s="8">
        <v>202692</v>
      </c>
      <c r="F22" s="9">
        <f>D22*E22</f>
        <v>810.76800000000003</v>
      </c>
    </row>
    <row r="23" spans="1:6" x14ac:dyDescent="0.3">
      <c r="A23" s="6">
        <v>2</v>
      </c>
      <c r="B23" s="6" t="s">
        <v>23</v>
      </c>
      <c r="C23" s="6" t="s">
        <v>14</v>
      </c>
      <c r="D23" s="6">
        <f>2/500</f>
        <v>4.0000000000000001E-3</v>
      </c>
      <c r="E23" s="8">
        <v>197479</v>
      </c>
      <c r="F23" s="9">
        <f>D23*E23</f>
        <v>789.91600000000005</v>
      </c>
    </row>
    <row r="24" spans="1:6" x14ac:dyDescent="0.3">
      <c r="A24" s="21" t="s">
        <v>24</v>
      </c>
      <c r="B24" s="21"/>
      <c r="C24" s="21"/>
      <c r="D24" s="21"/>
      <c r="E24" s="21"/>
      <c r="F24" s="10">
        <f>SUM(F22:F23)</f>
        <v>1600.6840000000002</v>
      </c>
    </row>
    <row r="25" spans="1:6" x14ac:dyDescent="0.3">
      <c r="A25" s="6"/>
      <c r="B25" s="6"/>
      <c r="C25" s="6"/>
      <c r="D25" s="6"/>
      <c r="E25" s="11"/>
      <c r="F25" s="12"/>
    </row>
    <row r="26" spans="1:6" x14ac:dyDescent="0.3">
      <c r="A26" s="23" t="s">
        <v>25</v>
      </c>
      <c r="B26" s="22"/>
      <c r="C26" s="22"/>
      <c r="D26" s="22"/>
      <c r="E26" s="22"/>
      <c r="F26" s="22"/>
    </row>
    <row r="27" spans="1:6" x14ac:dyDescent="0.3">
      <c r="A27" s="21" t="s">
        <v>26</v>
      </c>
      <c r="B27" s="21"/>
      <c r="C27" s="21"/>
      <c r="D27" s="21"/>
      <c r="E27" s="21"/>
      <c r="F27" s="10">
        <f>F7+F13+F18+F24</f>
        <v>15578.714</v>
      </c>
    </row>
    <row r="28" spans="1:6" x14ac:dyDescent="0.3">
      <c r="A28" s="25" t="s">
        <v>27</v>
      </c>
      <c r="B28" s="21"/>
      <c r="C28" s="21"/>
      <c r="D28" s="21"/>
      <c r="E28" s="21"/>
      <c r="F28" s="10">
        <f>F27*19%</f>
        <v>2959.9556600000001</v>
      </c>
    </row>
    <row r="29" spans="1:6" x14ac:dyDescent="0.3">
      <c r="A29" s="21" t="s">
        <v>28</v>
      </c>
      <c r="B29" s="21"/>
      <c r="C29" s="21"/>
      <c r="D29" s="21"/>
      <c r="E29" s="21"/>
      <c r="F29" s="10">
        <f>F27+F28</f>
        <v>18538.66966</v>
      </c>
    </row>
    <row r="30" spans="1:6" x14ac:dyDescent="0.3">
      <c r="A30" s="6"/>
      <c r="B30" s="6"/>
      <c r="C30" s="6"/>
      <c r="D30" s="6"/>
      <c r="E30" s="11"/>
      <c r="F30" s="12"/>
    </row>
    <row r="31" spans="1:6" x14ac:dyDescent="0.3">
      <c r="A31" s="22" t="s">
        <v>29</v>
      </c>
      <c r="B31" s="22"/>
      <c r="C31" s="22"/>
      <c r="D31" s="22"/>
      <c r="E31" s="22"/>
      <c r="F31" s="22"/>
    </row>
    <row r="32" spans="1:6" ht="34.049999999999997" customHeight="1" x14ac:dyDescent="0.3">
      <c r="A32" s="19" t="s">
        <v>30</v>
      </c>
      <c r="B32" s="20"/>
      <c r="C32" s="20"/>
      <c r="D32" s="20"/>
      <c r="E32" s="20"/>
      <c r="F32" s="20"/>
    </row>
    <row r="33" spans="1:6" ht="34.049999999999997" customHeight="1" x14ac:dyDescent="0.3">
      <c r="A33" s="19" t="s">
        <v>31</v>
      </c>
      <c r="B33" s="20"/>
      <c r="C33" s="20"/>
      <c r="D33" s="20"/>
      <c r="E33" s="20"/>
      <c r="F33" s="20"/>
    </row>
    <row r="34" spans="1:6" ht="34.049999999999997" customHeight="1" x14ac:dyDescent="0.3">
      <c r="A34" s="19" t="s">
        <v>32</v>
      </c>
      <c r="B34" s="20"/>
      <c r="C34" s="20"/>
      <c r="D34" s="20"/>
      <c r="E34" s="20"/>
      <c r="F34" s="20"/>
    </row>
    <row r="35" spans="1:6" ht="34.049999999999997" customHeight="1" x14ac:dyDescent="0.3">
      <c r="A35" s="19" t="s">
        <v>33</v>
      </c>
      <c r="B35" s="20"/>
      <c r="C35" s="20"/>
      <c r="D35" s="20"/>
      <c r="E35" s="20"/>
      <c r="F35" s="20"/>
    </row>
    <row r="36" spans="1:6" ht="34.049999999999997" customHeight="1" x14ac:dyDescent="0.3">
      <c r="A36" s="19" t="s">
        <v>34</v>
      </c>
      <c r="B36" s="20"/>
      <c r="C36" s="20"/>
      <c r="D36" s="20"/>
      <c r="E36" s="20"/>
      <c r="F36" s="20"/>
    </row>
    <row r="37" spans="1:6" ht="34.049999999999997" customHeight="1" x14ac:dyDescent="0.3">
      <c r="A37" s="19" t="s">
        <v>35</v>
      </c>
      <c r="B37" s="20"/>
      <c r="C37" s="20"/>
      <c r="D37" s="20"/>
      <c r="E37" s="20"/>
      <c r="F37" s="20"/>
    </row>
    <row r="38" spans="1:6" ht="34.049999999999997" customHeight="1" x14ac:dyDescent="0.3">
      <c r="A38" s="19" t="s">
        <v>36</v>
      </c>
      <c r="B38" s="20"/>
      <c r="C38" s="20"/>
      <c r="D38" s="20"/>
      <c r="E38" s="20"/>
      <c r="F38" s="20"/>
    </row>
    <row r="39" spans="1:6" ht="34.049999999999997" customHeight="1" x14ac:dyDescent="0.3">
      <c r="A39" s="19" t="s">
        <v>37</v>
      </c>
      <c r="B39" s="20"/>
      <c r="C39" s="20"/>
      <c r="D39" s="20"/>
      <c r="E39" s="20"/>
      <c r="F39" s="20"/>
    </row>
    <row r="40" spans="1:6" ht="34.049999999999997" customHeight="1" x14ac:dyDescent="0.3">
      <c r="A40" s="19" t="s">
        <v>38</v>
      </c>
      <c r="B40" s="20"/>
      <c r="C40" s="20"/>
      <c r="D40" s="20"/>
      <c r="E40" s="20"/>
      <c r="F40" s="20"/>
    </row>
    <row r="41" spans="1:6" x14ac:dyDescent="0.3">
      <c r="A41" s="6"/>
      <c r="B41" s="6"/>
      <c r="C41" s="6"/>
      <c r="D41" s="6"/>
      <c r="E41" s="11"/>
      <c r="F41" s="12"/>
    </row>
    <row r="42" spans="1:6" x14ac:dyDescent="0.3">
      <c r="A42" s="3"/>
      <c r="F42" s="5"/>
    </row>
    <row r="44" spans="1:6" x14ac:dyDescent="0.3">
      <c r="A44" s="1"/>
    </row>
    <row r="45" spans="1:6" x14ac:dyDescent="0.3">
      <c r="A45" s="2"/>
      <c r="B45" s="2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4"/>
      <c r="F46" s="5"/>
    </row>
    <row r="47" spans="1:6" x14ac:dyDescent="0.3">
      <c r="A47" s="2"/>
      <c r="B47" s="2"/>
      <c r="C47" s="2"/>
      <c r="D47" s="2"/>
      <c r="E47" s="4"/>
      <c r="F47" s="5"/>
    </row>
    <row r="48" spans="1:6" x14ac:dyDescent="0.3">
      <c r="A48" s="3"/>
      <c r="F48" s="5"/>
    </row>
    <row r="50" spans="1:6" x14ac:dyDescent="0.3">
      <c r="A50" s="3"/>
      <c r="F50" s="5"/>
    </row>
  </sheetData>
  <mergeCells count="24">
    <mergeCell ref="A1:F1"/>
    <mergeCell ref="A32:F32"/>
    <mergeCell ref="A35:F35"/>
    <mergeCell ref="A4:F4"/>
    <mergeCell ref="A13:E13"/>
    <mergeCell ref="A20:F20"/>
    <mergeCell ref="A18:E18"/>
    <mergeCell ref="A27:E27"/>
    <mergeCell ref="A40:F40"/>
    <mergeCell ref="A26:F26"/>
    <mergeCell ref="A39:F39"/>
    <mergeCell ref="A15:F15"/>
    <mergeCell ref="A2:F2"/>
    <mergeCell ref="A33:F33"/>
    <mergeCell ref="A29:E29"/>
    <mergeCell ref="A36:F36"/>
    <mergeCell ref="A7:E7"/>
    <mergeCell ref="A28:E28"/>
    <mergeCell ref="A38:F38"/>
    <mergeCell ref="A24:E24"/>
    <mergeCell ref="A37:F37"/>
    <mergeCell ref="A9:F9"/>
    <mergeCell ref="A31:F31"/>
    <mergeCell ref="A34:F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8671875" defaultRowHeight="14.4" x14ac:dyDescent="0.3"/>
  <cols>
    <col min="1" max="1" width="30" customWidth="1"/>
    <col min="2" max="2" width="58" customWidth="1"/>
    <col min="3" max="3" width="42" customWidth="1"/>
    <col min="4" max="4" width="58" customWidth="1"/>
  </cols>
  <sheetData>
    <row r="1" spans="1:4" x14ac:dyDescent="0.3">
      <c r="A1" s="28" t="s">
        <v>39</v>
      </c>
      <c r="B1" s="28"/>
      <c r="C1" s="28"/>
      <c r="D1" s="28"/>
    </row>
    <row r="2" spans="1:4" x14ac:dyDescent="0.3">
      <c r="A2" s="15"/>
      <c r="B2" s="15"/>
      <c r="C2" s="15"/>
      <c r="D2" s="15"/>
    </row>
    <row r="3" spans="1:4" x14ac:dyDescent="0.3">
      <c r="A3" s="15" t="s">
        <v>40</v>
      </c>
      <c r="B3" s="15" t="s">
        <v>41</v>
      </c>
      <c r="C3" s="15" t="s">
        <v>42</v>
      </c>
      <c r="D3" s="15" t="s">
        <v>43</v>
      </c>
    </row>
    <row r="4" spans="1:4" ht="43.2" x14ac:dyDescent="0.3">
      <c r="A4" s="15" t="s">
        <v>44</v>
      </c>
      <c r="B4" s="15" t="s">
        <v>45</v>
      </c>
      <c r="C4" s="15" t="s">
        <v>46</v>
      </c>
      <c r="D4" s="15" t="s">
        <v>47</v>
      </c>
    </row>
    <row r="5" spans="1:4" x14ac:dyDescent="0.3">
      <c r="A5" s="15" t="s">
        <v>48</v>
      </c>
      <c r="B5" s="15" t="s">
        <v>49</v>
      </c>
      <c r="C5" s="15" t="s">
        <v>50</v>
      </c>
      <c r="D5" s="15" t="s">
        <v>51</v>
      </c>
    </row>
    <row r="6" spans="1:4" x14ac:dyDescent="0.3">
      <c r="A6" s="15" t="s">
        <v>52</v>
      </c>
      <c r="B6" s="15" t="s">
        <v>53</v>
      </c>
      <c r="C6" s="15" t="s">
        <v>54</v>
      </c>
      <c r="D6" s="15" t="s">
        <v>55</v>
      </c>
    </row>
    <row r="7" spans="1:4" x14ac:dyDescent="0.3">
      <c r="A7" s="15" t="s">
        <v>56</v>
      </c>
      <c r="B7" s="15" t="s">
        <v>53</v>
      </c>
      <c r="C7" s="15" t="s">
        <v>57</v>
      </c>
      <c r="D7" s="15" t="s">
        <v>55</v>
      </c>
    </row>
    <row r="8" spans="1:4" ht="28.8" x14ac:dyDescent="0.3">
      <c r="A8" s="15" t="s">
        <v>58</v>
      </c>
      <c r="B8" s="15" t="s">
        <v>59</v>
      </c>
      <c r="C8" s="15" t="s">
        <v>60</v>
      </c>
      <c r="D8" s="15" t="s">
        <v>61</v>
      </c>
    </row>
    <row r="9" spans="1:4" x14ac:dyDescent="0.3">
      <c r="A9" s="15" t="s">
        <v>62</v>
      </c>
      <c r="B9" s="15" t="s">
        <v>63</v>
      </c>
      <c r="C9" s="15" t="s">
        <v>64</v>
      </c>
      <c r="D9" s="15" t="s">
        <v>65</v>
      </c>
    </row>
    <row r="10" spans="1:4" x14ac:dyDescent="0.3">
      <c r="A10" s="15" t="s">
        <v>66</v>
      </c>
      <c r="B10" s="15" t="s">
        <v>67</v>
      </c>
      <c r="C10" s="15" t="s">
        <v>68</v>
      </c>
      <c r="D10" s="15" t="s">
        <v>69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88671875" defaultRowHeight="14.4" x14ac:dyDescent="0.3"/>
  <cols>
    <col min="1" max="1" width="30" customWidth="1"/>
    <col min="2" max="2" width="58" customWidth="1"/>
    <col min="3" max="3" width="42" customWidth="1"/>
    <col min="4" max="4" width="58" customWidth="1"/>
  </cols>
  <sheetData>
    <row r="1" spans="1:4" x14ac:dyDescent="0.3">
      <c r="A1" s="16" t="s">
        <v>70</v>
      </c>
      <c r="B1" s="16" t="s">
        <v>71</v>
      </c>
      <c r="C1" s="16" t="s">
        <v>5</v>
      </c>
      <c r="D1" s="16" t="s">
        <v>72</v>
      </c>
    </row>
    <row r="2" spans="1:4" x14ac:dyDescent="0.3">
      <c r="A2" s="15" t="s">
        <v>48</v>
      </c>
      <c r="B2" s="17">
        <v>12500</v>
      </c>
      <c r="C2" s="15" t="s">
        <v>73</v>
      </c>
      <c r="D2" s="15" t="s">
        <v>74</v>
      </c>
    </row>
    <row r="3" spans="1:4" x14ac:dyDescent="0.3">
      <c r="A3" s="15" t="s">
        <v>75</v>
      </c>
      <c r="B3" s="18">
        <v>0.02</v>
      </c>
      <c r="C3" s="15" t="s">
        <v>76</v>
      </c>
      <c r="D3" s="15" t="s">
        <v>77</v>
      </c>
    </row>
    <row r="4" spans="1:4" x14ac:dyDescent="0.3">
      <c r="A4" s="15" t="s">
        <v>78</v>
      </c>
      <c r="B4" s="15">
        <v>1.02</v>
      </c>
      <c r="C4" s="15" t="s">
        <v>79</v>
      </c>
      <c r="D4" s="15" t="s">
        <v>80</v>
      </c>
    </row>
    <row r="5" spans="1:4" x14ac:dyDescent="0.3">
      <c r="A5" s="15" t="s">
        <v>81</v>
      </c>
      <c r="B5" s="15">
        <v>500</v>
      </c>
      <c r="C5" s="15" t="s">
        <v>82</v>
      </c>
      <c r="D5" s="15" t="s">
        <v>83</v>
      </c>
    </row>
    <row r="6" spans="1:4" x14ac:dyDescent="0.3">
      <c r="A6" s="15" t="s">
        <v>84</v>
      </c>
      <c r="B6" s="15">
        <v>2</v>
      </c>
      <c r="C6" s="15" t="s">
        <v>85</v>
      </c>
      <c r="D6" s="15" t="s">
        <v>86</v>
      </c>
    </row>
    <row r="7" spans="1:4" x14ac:dyDescent="0.3">
      <c r="A7" s="15" t="s">
        <v>87</v>
      </c>
      <c r="B7" s="15">
        <v>2</v>
      </c>
      <c r="C7" s="15" t="s">
        <v>85</v>
      </c>
      <c r="D7" s="15"/>
    </row>
    <row r="8" spans="1:4" x14ac:dyDescent="0.3">
      <c r="A8" s="15" t="s">
        <v>88</v>
      </c>
      <c r="B8" s="17">
        <v>202692</v>
      </c>
      <c r="C8" s="15" t="s">
        <v>89</v>
      </c>
      <c r="D8" s="15" t="s">
        <v>90</v>
      </c>
    </row>
    <row r="9" spans="1:4" x14ac:dyDescent="0.3">
      <c r="A9" s="15" t="s">
        <v>91</v>
      </c>
      <c r="B9" s="17">
        <v>197479</v>
      </c>
      <c r="C9" s="15" t="s">
        <v>89</v>
      </c>
      <c r="D9" s="15" t="s">
        <v>90</v>
      </c>
    </row>
    <row r="10" spans="1:4" x14ac:dyDescent="0.3">
      <c r="A10" s="15" t="s">
        <v>92</v>
      </c>
      <c r="B10" s="17">
        <v>350000</v>
      </c>
      <c r="C10" s="15" t="s">
        <v>89</v>
      </c>
      <c r="D10" s="15" t="s">
        <v>93</v>
      </c>
    </row>
    <row r="11" spans="1:4" x14ac:dyDescent="0.3">
      <c r="A11" s="15" t="s">
        <v>62</v>
      </c>
      <c r="B11" s="17">
        <v>1200000</v>
      </c>
      <c r="C11" s="15" t="s">
        <v>94</v>
      </c>
      <c r="D11" s="15" t="s">
        <v>93</v>
      </c>
    </row>
    <row r="12" spans="1:4" x14ac:dyDescent="0.3">
      <c r="A12" s="15" t="s">
        <v>95</v>
      </c>
      <c r="B12" s="17">
        <v>1000</v>
      </c>
      <c r="C12" s="15" t="s">
        <v>96</v>
      </c>
      <c r="D12" s="15" t="s">
        <v>97</v>
      </c>
    </row>
    <row r="13" spans="1:4" x14ac:dyDescent="0.3">
      <c r="A13" s="15" t="s">
        <v>98</v>
      </c>
      <c r="B13" s="17" t="str">
        <f ca="1">B12/B13</f>
        <v/>
      </c>
      <c r="C13" s="15" t="s">
        <v>73</v>
      </c>
      <c r="D13" s="15" t="s">
        <v>99</v>
      </c>
    </row>
    <row r="14" spans="1:4" x14ac:dyDescent="0.3">
      <c r="A14" s="15" t="s">
        <v>100</v>
      </c>
      <c r="B14" s="18">
        <v>0.19</v>
      </c>
      <c r="C14" s="15" t="s">
        <v>76</v>
      </c>
      <c r="D14" s="15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APU</vt:lpstr>
      <vt:lpstr>FUENTES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juliio cesar bustamante cortina</dc:creator>
  <cp:lastModifiedBy>juliio cesar bustamante cortina</cp:lastModifiedBy>
  <dcterms:created xsi:type="dcterms:W3CDTF">2026-09-06T13:47:59Z</dcterms:created>
  <dcterms:modified xsi:type="dcterms:W3CDTF">2026-09-07T00:35:49Z</dcterms:modified>
</cp:coreProperties>
</file>