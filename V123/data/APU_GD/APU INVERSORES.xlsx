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 BUSTAMANTE\Documents\e-SUN POWER\"/>
    </mc:Choice>
  </mc:AlternateContent>
  <xr:revisionPtr revIDLastSave="0" documentId="8_{153F48FF-3D3A-4C7E-A0AD-DFDEAAD4C4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RUCTURA APU" sheetId="1" r:id="rId1"/>
    <sheet name="FUENTES" sheetId="2" r:id="rId2"/>
    <sheet name="PARAMETR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F21" i="1"/>
  <c r="F22" i="1" s="1"/>
  <c r="D16" i="1"/>
  <c r="F16" i="1" s="1"/>
  <c r="F17" i="1" s="1"/>
  <c r="F11" i="1"/>
  <c r="F12" i="1" s="1"/>
  <c r="F6" i="1"/>
  <c r="F7" i="1" s="1"/>
  <c r="F25" i="1" l="1"/>
  <c r="F26" i="1" l="1"/>
  <c r="F27" i="1" s="1"/>
</calcChain>
</file>

<file path=xl/sharedStrings.xml><?xml version="1.0" encoding="utf-8"?>
<sst xmlns="http://schemas.openxmlformats.org/spreadsheetml/2006/main" count="108" uniqueCount="84">
  <si>
    <t>SUMINISTRO Y TRANSPORTE DE INVERSOR HUAWEI SUN2000-330KTL-H1 – APU 2026</t>
  </si>
  <si>
    <t>Suministro de inversor fotovoltaico HUAWEI SUN2000-330KTL-H1 de 330 kVA / 330 kW máx. Incluye transporte terrestre prorrateado a obra. No incluye instalación, estructura soporte, cableado, terminales, puesta en servicio ni pruebas.</t>
  </si>
  <si>
    <t>1. MATERIALES E INSUMOS</t>
  </si>
  <si>
    <t>Ítem</t>
  </si>
  <si>
    <t>Material / recurso</t>
  </si>
  <si>
    <t>Unidad</t>
  </si>
  <si>
    <t>Cantidad / UND</t>
  </si>
  <si>
    <t>Precio unitario</t>
  </si>
  <si>
    <t>Valor parcial / UND</t>
  </si>
  <si>
    <t>Inversor HUAWEI SUN2000-330KTL-H1 – 330 kVA / 330 kW máx.</t>
  </si>
  <si>
    <t>UND</t>
  </si>
  <si>
    <t>SUBTOTAL MATERIALES E INSUMOS</t>
  </si>
  <si>
    <t>2. MAQUINARIA, EQUIPOS Y HERRAMIENTA</t>
  </si>
  <si>
    <t>Equipo/herramienta para manipulación en despacho</t>
  </si>
  <si>
    <t>SUBTOTAL EQUIPOS/HERRAMIENTA</t>
  </si>
  <si>
    <t>3. TRANSPORTE</t>
  </si>
  <si>
    <t>Transporte terrestre de inversores, bodega Barranquilla → obra Galapa</t>
  </si>
  <si>
    <t>VIAJE</t>
  </si>
  <si>
    <t>SUBTOTAL TRANSPORTE</t>
  </si>
  <si>
    <t>4. MANO DE OBRA</t>
  </si>
  <si>
    <t>Mano de obra de suministro y despacho</t>
  </si>
  <si>
    <t>SUBTOTAL MANO DE OBRA</t>
  </si>
  <si>
    <t>5. RESUMEN</t>
  </si>
  <si>
    <t>Costo directo antes de IVA / UND</t>
  </si>
  <si>
    <t>IVA 19%</t>
  </si>
  <si>
    <t>Total con IVA / UND</t>
  </si>
  <si>
    <t>6. PARÁMETROS Y ALCANCE</t>
  </si>
  <si>
    <t>• Precio del inversor: $30.000.000/UND antes de IVA, suministrado por el usuario.</t>
  </si>
  <si>
    <t>• Referencia oficial Huawei: SUN2000-330KTL-H1; potencia aparente máxima 330 kVA y potencia activa máxima 330 kW a cosφ=1.</t>
  </si>
  <si>
    <t>• Dimensiones oficiales: 1.048 × 732 × 395 mm; peso con placa de montaje ≤112 kg.</t>
  </si>
  <si>
    <t>• Transporte presupuestal: $1.200.000/viaje, prorrateado entre 10 inversores/viaje = $120.000/UND.</t>
  </si>
  <si>
    <t>• El transporte es una provisión presupuestal y debe reemplazarse por cotización real cuando se defina origen, cantidad total, vehículo y fecha.</t>
  </si>
  <si>
    <t>• Se supone transporte agrupado de 10 inversores por viaje, sujeto a embalaje, estiba y capacidad del vehículo.</t>
  </si>
  <si>
    <t>• No incluye instalación, izaje, estructura, pernos de montaje, cableado DC/AC, terminales, protecciones externas, comunicaciones, puesta a tierra, pruebas ni puesta en servicio.</t>
  </si>
  <si>
    <t>• IVA 19% mostrado por separado.</t>
  </si>
  <si>
    <t>FUENTES Y CRITERIOS DE COSTEO</t>
  </si>
  <si>
    <t>Concepto</t>
  </si>
  <si>
    <t>Fuente</t>
  </si>
  <si>
    <t>Dato utilizado</t>
  </si>
  <si>
    <t>Observación</t>
  </si>
  <si>
    <t>Referencia técnica</t>
  </si>
  <si>
    <t>Huawei Solar – SUN2000-330KTL-H1/H2 Specs</t>
  </si>
  <si>
    <t>330 kVA máx.; 330 kW máx.; 1.048×732×395 mm; ≤112 kg</t>
  </si>
  <si>
    <t>Ficha oficial Huawei.</t>
  </si>
  <si>
    <t>Ficha técnica</t>
  </si>
  <si>
    <t>Huawei Solar – SUN2000-330KTL-H1</t>
  </si>
  <si>
    <t>1.500 V máx. entrada; 6 MPPT; 800 V AC; IP66</t>
  </si>
  <si>
    <t>Datos técnicos del equipo.</t>
  </si>
  <si>
    <t>Precio inversor</t>
  </si>
  <si>
    <t>Usuario</t>
  </si>
  <si>
    <t>$30.000.000/UND + IVA 19%</t>
  </si>
  <si>
    <t>Precio de suministro indicado.</t>
  </si>
  <si>
    <t>Transporte</t>
  </si>
  <si>
    <t>Supuesto presupuestal APU</t>
  </si>
  <si>
    <t>$1.200.000/viaje; 10 inversores/viaje</t>
  </si>
  <si>
    <t>Valor provisional Barranquilla → Galapa.</t>
  </si>
  <si>
    <t>Criterio de prorrateo</t>
  </si>
  <si>
    <t>APU</t>
  </si>
  <si>
    <t>$1.200.000 / 10 = $120.000/UND</t>
  </si>
  <si>
    <t>Validar contra cotización real.</t>
  </si>
  <si>
    <t>Parámetro</t>
  </si>
  <si>
    <t>Valor</t>
  </si>
  <si>
    <t>Nota</t>
  </si>
  <si>
    <t>Potencia máxima AC</t>
  </si>
  <si>
    <t>kW</t>
  </si>
  <si>
    <t>cosφ=1</t>
  </si>
  <si>
    <t>Potencia aparente máxima</t>
  </si>
  <si>
    <t>kVA</t>
  </si>
  <si>
    <t>Según Huawei</t>
  </si>
  <si>
    <t>Peso máximo con placa</t>
  </si>
  <si>
    <t>kg</t>
  </si>
  <si>
    <t>$/UND</t>
  </si>
  <si>
    <t>Dato usuario, antes de IVA</t>
  </si>
  <si>
    <t>Transporte por viaje</t>
  </si>
  <si>
    <t>$/viaje</t>
  </si>
  <si>
    <t>Supuesto presupuestal</t>
  </si>
  <si>
    <t>Inversores por viaje</t>
  </si>
  <si>
    <t>UND/viaje</t>
  </si>
  <si>
    <t>Supuesto de prorrateo</t>
  </si>
  <si>
    <t>Transporte unitario</t>
  </si>
  <si>
    <t>Fórmula</t>
  </si>
  <si>
    <t>IVA</t>
  </si>
  <si>
    <t>%</t>
  </si>
  <si>
    <t>Mostrado separado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</si>
</sst>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ptos Narrow"/>
    </font>
    <font>
      <b/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44" fontId="1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44" fontId="0" fillId="0" borderId="1" xfId="0" applyNumberFormat="1" applyBorder="1"/>
    <xf numFmtId="0" fontId="0" fillId="0" borderId="2" xfId="0" applyBorder="1"/>
    <xf numFmtId="0" fontId="4" fillId="2" borderId="2" xfId="0" applyFont="1" applyFill="1" applyBorder="1" applyAlignment="1">
      <alignment horizontal="center"/>
    </xf>
    <xf numFmtId="164" fontId="0" fillId="0" borderId="2" xfId="1" applyNumberFormat="1" applyFont="1" applyBorder="1"/>
    <xf numFmtId="164" fontId="0" fillId="0" borderId="2" xfId="0" applyNumberFormat="1" applyBorder="1"/>
    <xf numFmtId="164" fontId="3" fillId="4" borderId="2" xfId="0" applyNumberFormat="1" applyFont="1" applyFill="1" applyBorder="1"/>
    <xf numFmtId="44" fontId="0" fillId="0" borderId="2" xfId="1" applyFont="1" applyBorder="1"/>
    <xf numFmtId="44" fontId="0" fillId="0" borderId="2" xfId="0" applyNumberFormat="1" applyBorder="1"/>
    <xf numFmtId="44" fontId="4" fillId="2" borderId="2" xfId="1" applyFont="1" applyFill="1" applyBorder="1" applyAlignment="1">
      <alignment horizontal="center"/>
    </xf>
    <xf numFmtId="44" fontId="4" fillId="2" borderId="2" xfId="0" applyNumberFormat="1" applyFont="1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3" fillId="4" borderId="2" xfId="0" applyFont="1" applyFill="1" applyBorder="1"/>
    <xf numFmtId="0" fontId="3" fillId="4" borderId="2" xfId="0" applyFont="1" applyFill="1" applyBorder="1" applyAlignment="1">
      <alignment horizontal="right"/>
    </xf>
    <xf numFmtId="0" fontId="3" fillId="3" borderId="2" xfId="0" applyFont="1" applyFill="1" applyBorder="1"/>
    <xf numFmtId="0" fontId="0" fillId="0" borderId="2" xfId="0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I33" sqref="I33"/>
    </sheetView>
  </sheetViews>
  <sheetFormatPr baseColWidth="10" defaultRowHeight="14.4" x14ac:dyDescent="0.3"/>
  <cols>
    <col min="1" max="1" width="11" bestFit="1" customWidth="1"/>
    <col min="2" max="2" width="68" bestFit="1" customWidth="1"/>
    <col min="3" max="3" width="14" customWidth="1"/>
    <col min="4" max="5" width="18" bestFit="1" customWidth="1"/>
    <col min="6" max="6" width="20" bestFit="1" customWidth="1"/>
  </cols>
  <sheetData>
    <row r="1" spans="1:6" ht="18" x14ac:dyDescent="0.35">
      <c r="A1" s="23" t="s">
        <v>0</v>
      </c>
      <c r="B1" s="23"/>
      <c r="C1" s="23"/>
      <c r="D1" s="23"/>
      <c r="E1" s="23"/>
      <c r="F1" s="23"/>
    </row>
    <row r="2" spans="1:6" ht="45" customHeight="1" x14ac:dyDescent="0.3">
      <c r="A2" s="22" t="s">
        <v>1</v>
      </c>
      <c r="B2" s="18"/>
      <c r="C2" s="18"/>
      <c r="D2" s="18"/>
      <c r="E2" s="18"/>
      <c r="F2" s="18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24" t="s">
        <v>2</v>
      </c>
      <c r="B4" s="21"/>
      <c r="C4" s="21"/>
      <c r="D4" s="21"/>
      <c r="E4" s="21"/>
      <c r="F4" s="21"/>
    </row>
    <row r="5" spans="1:6" x14ac:dyDescent="0.3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</row>
    <row r="6" spans="1:6" x14ac:dyDescent="0.3">
      <c r="A6" s="6">
        <v>1</v>
      </c>
      <c r="B6" s="6" t="s">
        <v>9</v>
      </c>
      <c r="C6" s="6" t="s">
        <v>10</v>
      </c>
      <c r="D6" s="6">
        <v>1</v>
      </c>
      <c r="E6" s="8">
        <v>30000000</v>
      </c>
      <c r="F6" s="9">
        <f>D6*E6</f>
        <v>30000000</v>
      </c>
    </row>
    <row r="7" spans="1:6" x14ac:dyDescent="0.3">
      <c r="A7" s="19" t="s">
        <v>11</v>
      </c>
      <c r="B7" s="19"/>
      <c r="C7" s="19"/>
      <c r="D7" s="19"/>
      <c r="E7" s="19"/>
      <c r="F7" s="10">
        <f>F6</f>
        <v>30000000</v>
      </c>
    </row>
    <row r="8" spans="1:6" x14ac:dyDescent="0.3">
      <c r="A8" s="6"/>
      <c r="B8" s="6"/>
      <c r="C8" s="6"/>
      <c r="D8" s="6"/>
      <c r="E8" s="11"/>
      <c r="F8" s="12"/>
    </row>
    <row r="9" spans="1:6" x14ac:dyDescent="0.3">
      <c r="A9" s="21" t="s">
        <v>12</v>
      </c>
      <c r="B9" s="21"/>
      <c r="C9" s="21"/>
      <c r="D9" s="21"/>
      <c r="E9" s="21"/>
      <c r="F9" s="21"/>
    </row>
    <row r="10" spans="1:6" x14ac:dyDescent="0.3">
      <c r="A10" s="7" t="s">
        <v>3</v>
      </c>
      <c r="B10" s="7" t="s">
        <v>4</v>
      </c>
      <c r="C10" s="7" t="s">
        <v>5</v>
      </c>
      <c r="D10" s="7" t="s">
        <v>6</v>
      </c>
      <c r="E10" s="13" t="s">
        <v>7</v>
      </c>
      <c r="F10" s="14" t="s">
        <v>8</v>
      </c>
    </row>
    <row r="11" spans="1:6" x14ac:dyDescent="0.3">
      <c r="A11" s="6">
        <v>1</v>
      </c>
      <c r="B11" s="6" t="s">
        <v>13</v>
      </c>
      <c r="C11" s="6" t="s">
        <v>10</v>
      </c>
      <c r="D11" s="6">
        <v>0</v>
      </c>
      <c r="E11" s="8">
        <v>0</v>
      </c>
      <c r="F11" s="9">
        <f>D11*E11</f>
        <v>0</v>
      </c>
    </row>
    <row r="12" spans="1:6" x14ac:dyDescent="0.3">
      <c r="A12" s="19" t="s">
        <v>14</v>
      </c>
      <c r="B12" s="19"/>
      <c r="C12" s="19"/>
      <c r="D12" s="19"/>
      <c r="E12" s="19"/>
      <c r="F12" s="10">
        <f>F11</f>
        <v>0</v>
      </c>
    </row>
    <row r="13" spans="1:6" x14ac:dyDescent="0.3">
      <c r="A13" s="6"/>
      <c r="B13" s="6"/>
      <c r="C13" s="6"/>
      <c r="D13" s="6"/>
      <c r="E13" s="11"/>
      <c r="F13" s="12"/>
    </row>
    <row r="14" spans="1:6" x14ac:dyDescent="0.3">
      <c r="A14" s="21" t="s">
        <v>15</v>
      </c>
      <c r="B14" s="21"/>
      <c r="C14" s="21"/>
      <c r="D14" s="21"/>
      <c r="E14" s="21"/>
      <c r="F14" s="21"/>
    </row>
    <row r="15" spans="1:6" x14ac:dyDescent="0.3">
      <c r="A15" s="7" t="s">
        <v>3</v>
      </c>
      <c r="B15" s="7" t="s">
        <v>4</v>
      </c>
      <c r="C15" s="7" t="s">
        <v>5</v>
      </c>
      <c r="D15" s="7" t="s">
        <v>6</v>
      </c>
      <c r="E15" s="13" t="s">
        <v>7</v>
      </c>
      <c r="F15" s="14" t="s">
        <v>8</v>
      </c>
    </row>
    <row r="16" spans="1:6" x14ac:dyDescent="0.3">
      <c r="A16" s="6">
        <v>1</v>
      </c>
      <c r="B16" s="6" t="s">
        <v>16</v>
      </c>
      <c r="C16" s="6" t="s">
        <v>17</v>
      </c>
      <c r="D16" s="6">
        <f>1/10</f>
        <v>0.1</v>
      </c>
      <c r="E16" s="8">
        <v>1200000</v>
      </c>
      <c r="F16" s="9">
        <f>D16*E16</f>
        <v>120000</v>
      </c>
    </row>
    <row r="17" spans="1:6" x14ac:dyDescent="0.3">
      <c r="A17" s="19" t="s">
        <v>18</v>
      </c>
      <c r="B17" s="19"/>
      <c r="C17" s="19"/>
      <c r="D17" s="19"/>
      <c r="E17" s="19"/>
      <c r="F17" s="10">
        <f>F16</f>
        <v>120000</v>
      </c>
    </row>
    <row r="18" spans="1:6" x14ac:dyDescent="0.3">
      <c r="A18" s="6"/>
      <c r="B18" s="6"/>
      <c r="C18" s="6"/>
      <c r="D18" s="6"/>
      <c r="E18" s="11"/>
      <c r="F18" s="12"/>
    </row>
    <row r="19" spans="1:6" x14ac:dyDescent="0.3">
      <c r="A19" s="21" t="s">
        <v>19</v>
      </c>
      <c r="B19" s="21"/>
      <c r="C19" s="21"/>
      <c r="D19" s="21"/>
      <c r="E19" s="21"/>
      <c r="F19" s="21"/>
    </row>
    <row r="20" spans="1:6" x14ac:dyDescent="0.3">
      <c r="A20" s="7" t="s">
        <v>3</v>
      </c>
      <c r="B20" s="7" t="s">
        <v>4</v>
      </c>
      <c r="C20" s="7" t="s">
        <v>5</v>
      </c>
      <c r="D20" s="7" t="s">
        <v>6</v>
      </c>
      <c r="E20" s="13" t="s">
        <v>7</v>
      </c>
      <c r="F20" s="14" t="s">
        <v>8</v>
      </c>
    </row>
    <row r="21" spans="1:6" x14ac:dyDescent="0.3">
      <c r="A21" s="6">
        <v>1</v>
      </c>
      <c r="B21" s="6" t="s">
        <v>20</v>
      </c>
      <c r="C21" s="6" t="s">
        <v>10</v>
      </c>
      <c r="D21" s="6">
        <v>0</v>
      </c>
      <c r="E21" s="8">
        <v>0</v>
      </c>
      <c r="F21" s="9">
        <f>D21*E21</f>
        <v>0</v>
      </c>
    </row>
    <row r="22" spans="1:6" x14ac:dyDescent="0.3">
      <c r="A22" s="19" t="s">
        <v>21</v>
      </c>
      <c r="B22" s="19"/>
      <c r="C22" s="19"/>
      <c r="D22" s="19"/>
      <c r="E22" s="19"/>
      <c r="F22" s="10">
        <f>F21</f>
        <v>0</v>
      </c>
    </row>
    <row r="23" spans="1:6" x14ac:dyDescent="0.3">
      <c r="A23" s="6"/>
      <c r="B23" s="6"/>
      <c r="C23" s="6"/>
      <c r="D23" s="6"/>
      <c r="E23" s="11"/>
      <c r="F23" s="12"/>
    </row>
    <row r="24" spans="1:6" x14ac:dyDescent="0.3">
      <c r="A24" s="21" t="s">
        <v>22</v>
      </c>
      <c r="B24" s="21"/>
      <c r="C24" s="21"/>
      <c r="D24" s="21"/>
      <c r="E24" s="21"/>
      <c r="F24" s="21"/>
    </row>
    <row r="25" spans="1:6" x14ac:dyDescent="0.3">
      <c r="A25" s="19" t="s">
        <v>23</v>
      </c>
      <c r="B25" s="19"/>
      <c r="C25" s="19"/>
      <c r="D25" s="19"/>
      <c r="E25" s="19"/>
      <c r="F25" s="10">
        <f>F7+F12+F17+F22</f>
        <v>30120000</v>
      </c>
    </row>
    <row r="26" spans="1:6" x14ac:dyDescent="0.3">
      <c r="A26" s="20" t="s">
        <v>24</v>
      </c>
      <c r="B26" s="19"/>
      <c r="C26" s="19"/>
      <c r="D26" s="19"/>
      <c r="E26" s="19"/>
      <c r="F26" s="10">
        <f>F25*19%</f>
        <v>5722800</v>
      </c>
    </row>
    <row r="27" spans="1:6" x14ac:dyDescent="0.3">
      <c r="A27" s="19" t="s">
        <v>25</v>
      </c>
      <c r="B27" s="19"/>
      <c r="C27" s="19"/>
      <c r="D27" s="19"/>
      <c r="E27" s="19"/>
      <c r="F27" s="10">
        <f>F25+F26</f>
        <v>35842800</v>
      </c>
    </row>
    <row r="28" spans="1:6" x14ac:dyDescent="0.3">
      <c r="A28" s="6"/>
      <c r="B28" s="6"/>
      <c r="C28" s="6"/>
      <c r="D28" s="6"/>
      <c r="E28" s="11"/>
      <c r="F28" s="12"/>
    </row>
    <row r="29" spans="1:6" x14ac:dyDescent="0.3">
      <c r="A29" s="21" t="s">
        <v>26</v>
      </c>
      <c r="B29" s="21"/>
      <c r="C29" s="21"/>
      <c r="D29" s="21"/>
      <c r="E29" s="21"/>
      <c r="F29" s="21"/>
    </row>
    <row r="30" spans="1:6" ht="30" customHeight="1" x14ac:dyDescent="0.3">
      <c r="A30" s="17" t="s">
        <v>27</v>
      </c>
      <c r="B30" s="18"/>
      <c r="C30" s="18"/>
      <c r="D30" s="18"/>
      <c r="E30" s="18"/>
      <c r="F30" s="18"/>
    </row>
    <row r="31" spans="1:6" ht="30" customHeight="1" x14ac:dyDescent="0.3">
      <c r="A31" s="17" t="s">
        <v>28</v>
      </c>
      <c r="B31" s="18"/>
      <c r="C31" s="18"/>
      <c r="D31" s="18"/>
      <c r="E31" s="18"/>
      <c r="F31" s="18"/>
    </row>
    <row r="32" spans="1:6" ht="30" customHeight="1" x14ac:dyDescent="0.3">
      <c r="A32" s="17" t="s">
        <v>29</v>
      </c>
      <c r="B32" s="18"/>
      <c r="C32" s="18"/>
      <c r="D32" s="18"/>
      <c r="E32" s="18"/>
      <c r="F32" s="18"/>
    </row>
    <row r="33" spans="1:6" ht="30" customHeight="1" x14ac:dyDescent="0.3">
      <c r="A33" s="17" t="s">
        <v>30</v>
      </c>
      <c r="B33" s="18"/>
      <c r="C33" s="18"/>
      <c r="D33" s="18"/>
      <c r="E33" s="18"/>
      <c r="F33" s="18"/>
    </row>
    <row r="34" spans="1:6" ht="30" customHeight="1" x14ac:dyDescent="0.3">
      <c r="A34" s="17" t="s">
        <v>31</v>
      </c>
      <c r="B34" s="18"/>
      <c r="C34" s="18"/>
      <c r="D34" s="18"/>
      <c r="E34" s="18"/>
      <c r="F34" s="18"/>
    </row>
    <row r="35" spans="1:6" ht="30" customHeight="1" x14ac:dyDescent="0.3">
      <c r="A35" s="17" t="s">
        <v>32</v>
      </c>
      <c r="B35" s="18"/>
      <c r="C35" s="18"/>
      <c r="D35" s="18"/>
      <c r="E35" s="18"/>
      <c r="F35" s="18"/>
    </row>
    <row r="36" spans="1:6" ht="30" customHeight="1" x14ac:dyDescent="0.3">
      <c r="A36" s="17" t="s">
        <v>33</v>
      </c>
      <c r="B36" s="18"/>
      <c r="C36" s="18"/>
      <c r="D36" s="18"/>
      <c r="E36" s="18"/>
      <c r="F36" s="18"/>
    </row>
    <row r="37" spans="1:6" ht="30" customHeight="1" x14ac:dyDescent="0.3">
      <c r="A37" s="17" t="s">
        <v>34</v>
      </c>
      <c r="B37" s="18"/>
      <c r="C37" s="18"/>
      <c r="D37" s="18"/>
      <c r="E37" s="18"/>
      <c r="F37" s="18"/>
    </row>
    <row r="38" spans="1:6" x14ac:dyDescent="0.3">
      <c r="A38" s="2"/>
      <c r="B38" s="2"/>
      <c r="C38" s="2"/>
      <c r="D38" s="2"/>
      <c r="E38" s="4"/>
      <c r="F38" s="5"/>
    </row>
    <row r="39" spans="1:6" x14ac:dyDescent="0.3">
      <c r="A39" s="2"/>
      <c r="B39" s="2"/>
      <c r="C39" s="2"/>
      <c r="D39" s="2"/>
      <c r="E39" s="4"/>
      <c r="F39" s="5"/>
    </row>
    <row r="40" spans="1:6" x14ac:dyDescent="0.3">
      <c r="A40" s="3"/>
      <c r="F40" s="5"/>
    </row>
    <row r="42" spans="1:6" x14ac:dyDescent="0.3">
      <c r="A42" s="1"/>
    </row>
    <row r="43" spans="1:6" x14ac:dyDescent="0.3">
      <c r="A43" s="2"/>
      <c r="B43" s="2"/>
      <c r="C43" s="2"/>
      <c r="D43" s="2"/>
      <c r="E43" s="2"/>
      <c r="F43" s="2"/>
    </row>
    <row r="44" spans="1:6" x14ac:dyDescent="0.3">
      <c r="A44" s="2"/>
      <c r="B44" s="2"/>
      <c r="C44" s="2"/>
      <c r="D44" s="2"/>
      <c r="E44" s="4"/>
      <c r="F44" s="5"/>
    </row>
    <row r="45" spans="1:6" x14ac:dyDescent="0.3">
      <c r="A45" s="2"/>
      <c r="B45" s="2"/>
      <c r="C45" s="2"/>
      <c r="D45" s="2"/>
      <c r="E45" s="4"/>
      <c r="F45" s="5"/>
    </row>
    <row r="46" spans="1:6" x14ac:dyDescent="0.3">
      <c r="A46" s="3"/>
      <c r="F46" s="5"/>
    </row>
    <row r="48" spans="1:6" x14ac:dyDescent="0.3">
      <c r="A48" s="3"/>
      <c r="F48" s="5"/>
    </row>
  </sheetData>
  <mergeCells count="23">
    <mergeCell ref="A1:F1"/>
    <mergeCell ref="A25:E25"/>
    <mergeCell ref="A30:F30"/>
    <mergeCell ref="A33:F33"/>
    <mergeCell ref="A4:F4"/>
    <mergeCell ref="A27:E27"/>
    <mergeCell ref="A37:F37"/>
    <mergeCell ref="A24:F24"/>
    <mergeCell ref="A2:F2"/>
    <mergeCell ref="A31:F31"/>
    <mergeCell ref="A34:F34"/>
    <mergeCell ref="A14:F14"/>
    <mergeCell ref="A7:E7"/>
    <mergeCell ref="A9:F9"/>
    <mergeCell ref="A29:F29"/>
    <mergeCell ref="A32:F32"/>
    <mergeCell ref="A22:E22"/>
    <mergeCell ref="A17:E17"/>
    <mergeCell ref="A36:F36"/>
    <mergeCell ref="A12:E12"/>
    <mergeCell ref="A26:E26"/>
    <mergeCell ref="A19:F19"/>
    <mergeCell ref="A35:F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baseColWidth="10" defaultColWidth="8.88671875" defaultRowHeight="14.4" x14ac:dyDescent="0.3"/>
  <cols>
    <col min="1" max="1" width="30" customWidth="1"/>
    <col min="2" max="2" width="55" customWidth="1"/>
    <col min="3" max="3" width="42" customWidth="1"/>
    <col min="4" max="4" width="55" customWidth="1"/>
  </cols>
  <sheetData>
    <row r="1" spans="1:4" x14ac:dyDescent="0.3">
      <c r="A1" s="25" t="s">
        <v>35</v>
      </c>
      <c r="B1" s="25"/>
      <c r="C1" s="25"/>
      <c r="D1" s="25"/>
    </row>
    <row r="2" spans="1:4" x14ac:dyDescent="0.3">
      <c r="A2" s="15"/>
      <c r="B2" s="15"/>
      <c r="C2" s="15"/>
      <c r="D2" s="15"/>
    </row>
    <row r="3" spans="1:4" x14ac:dyDescent="0.3">
      <c r="A3" s="15" t="s">
        <v>36</v>
      </c>
      <c r="B3" s="15" t="s">
        <v>37</v>
      </c>
      <c r="C3" s="15" t="s">
        <v>38</v>
      </c>
      <c r="D3" s="15" t="s">
        <v>39</v>
      </c>
    </row>
    <row r="4" spans="1:4" ht="28.8" x14ac:dyDescent="0.3">
      <c r="A4" s="15" t="s">
        <v>40</v>
      </c>
      <c r="B4" s="15" t="s">
        <v>41</v>
      </c>
      <c r="C4" s="15" t="s">
        <v>42</v>
      </c>
      <c r="D4" s="15" t="s">
        <v>43</v>
      </c>
    </row>
    <row r="5" spans="1:4" x14ac:dyDescent="0.3">
      <c r="A5" s="15" t="s">
        <v>44</v>
      </c>
      <c r="B5" s="15" t="s">
        <v>45</v>
      </c>
      <c r="C5" s="15" t="s">
        <v>46</v>
      </c>
      <c r="D5" s="15" t="s">
        <v>47</v>
      </c>
    </row>
    <row r="6" spans="1:4" x14ac:dyDescent="0.3">
      <c r="A6" s="15" t="s">
        <v>48</v>
      </c>
      <c r="B6" s="15" t="s">
        <v>49</v>
      </c>
      <c r="C6" s="15" t="s">
        <v>50</v>
      </c>
      <c r="D6" s="15" t="s">
        <v>51</v>
      </c>
    </row>
    <row r="7" spans="1:4" x14ac:dyDescent="0.3">
      <c r="A7" s="15" t="s">
        <v>52</v>
      </c>
      <c r="B7" s="15" t="s">
        <v>53</v>
      </c>
      <c r="C7" s="15" t="s">
        <v>54</v>
      </c>
      <c r="D7" s="15" t="s">
        <v>55</v>
      </c>
    </row>
    <row r="8" spans="1:4" x14ac:dyDescent="0.3">
      <c r="A8" s="15" t="s">
        <v>56</v>
      </c>
      <c r="B8" s="15" t="s">
        <v>57</v>
      </c>
      <c r="C8" s="15" t="s">
        <v>58</v>
      </c>
      <c r="D8" s="15" t="s">
        <v>59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8.88671875" defaultRowHeight="14.4" x14ac:dyDescent="0.3"/>
  <cols>
    <col min="1" max="1" width="30" customWidth="1"/>
    <col min="2" max="2" width="55" customWidth="1"/>
    <col min="3" max="3" width="42" customWidth="1"/>
    <col min="4" max="4" width="55" customWidth="1"/>
  </cols>
  <sheetData>
    <row r="1" spans="1:4" x14ac:dyDescent="0.3">
      <c r="A1" s="16" t="s">
        <v>60</v>
      </c>
      <c r="B1" s="16" t="s">
        <v>61</v>
      </c>
      <c r="C1" s="16" t="s">
        <v>5</v>
      </c>
      <c r="D1" s="16" t="s">
        <v>62</v>
      </c>
    </row>
    <row r="2" spans="1:4" x14ac:dyDescent="0.3">
      <c r="A2" s="15" t="s">
        <v>63</v>
      </c>
      <c r="B2" s="15">
        <v>330</v>
      </c>
      <c r="C2" s="15" t="s">
        <v>64</v>
      </c>
      <c r="D2" s="15" t="s">
        <v>65</v>
      </c>
    </row>
    <row r="3" spans="1:4" x14ac:dyDescent="0.3">
      <c r="A3" s="15" t="s">
        <v>66</v>
      </c>
      <c r="B3" s="15">
        <v>330</v>
      </c>
      <c r="C3" s="15" t="s">
        <v>67</v>
      </c>
      <c r="D3" s="15" t="s">
        <v>68</v>
      </c>
    </row>
    <row r="4" spans="1:4" x14ac:dyDescent="0.3">
      <c r="A4" s="15" t="s">
        <v>69</v>
      </c>
      <c r="B4" s="15">
        <v>112</v>
      </c>
      <c r="C4" s="15" t="s">
        <v>70</v>
      </c>
      <c r="D4" s="15" t="s">
        <v>68</v>
      </c>
    </row>
    <row r="5" spans="1:4" x14ac:dyDescent="0.3">
      <c r="A5" s="15" t="s">
        <v>48</v>
      </c>
      <c r="B5" s="15">
        <v>30000000</v>
      </c>
      <c r="C5" s="15" t="s">
        <v>71</v>
      </c>
      <c r="D5" s="15" t="s">
        <v>72</v>
      </c>
    </row>
    <row r="6" spans="1:4" x14ac:dyDescent="0.3">
      <c r="A6" s="15" t="s">
        <v>73</v>
      </c>
      <c r="B6" s="15">
        <v>1200000</v>
      </c>
      <c r="C6" s="15" t="s">
        <v>74</v>
      </c>
      <c r="D6" s="15" t="s">
        <v>75</v>
      </c>
    </row>
    <row r="7" spans="1:4" x14ac:dyDescent="0.3">
      <c r="A7" s="15" t="s">
        <v>76</v>
      </c>
      <c r="B7" s="15">
        <v>10</v>
      </c>
      <c r="C7" s="15" t="s">
        <v>77</v>
      </c>
      <c r="D7" s="15" t="s">
        <v>78</v>
      </c>
    </row>
    <row r="8" spans="1:4" x14ac:dyDescent="0.3">
      <c r="A8" s="15" t="s">
        <v>79</v>
      </c>
      <c r="B8" s="15">
        <f>B6/B7</f>
        <v>120000</v>
      </c>
      <c r="C8" s="15" t="s">
        <v>71</v>
      </c>
      <c r="D8" s="15" t="s">
        <v>80</v>
      </c>
    </row>
    <row r="9" spans="1:4" x14ac:dyDescent="0.3">
      <c r="A9" s="15" t="s">
        <v>81</v>
      </c>
      <c r="B9" s="15">
        <v>0.19</v>
      </c>
      <c r="C9" s="15" t="s">
        <v>82</v>
      </c>
      <c r="D9" s="15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ESTRUCTURA APU</vt:lpstr>
      <vt:lpstr>FUENTES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juliio cesar bustamante cortina</dc:creator>
  <cp:lastModifiedBy>juliio cesar bustamante cortina</cp:lastModifiedBy>
  <dcterms:created xsi:type="dcterms:W3CDTF">2026-09-06T13:47:59Z</dcterms:created>
  <dcterms:modified xsi:type="dcterms:W3CDTF">2026-09-07T00:25:18Z</dcterms:modified>
</cp:coreProperties>
</file>