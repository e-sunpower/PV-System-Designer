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 BUSTAMANTE\Documents\e-SUN POWER\"/>
    </mc:Choice>
  </mc:AlternateContent>
  <xr:revisionPtr revIDLastSave="0" documentId="8_{C2A348B7-3607-4C7A-B508-7D87C44F2A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RUCTURA APU" sheetId="1" r:id="rId1"/>
    <sheet name="FUENTES" sheetId="2" r:id="rId2"/>
    <sheet name="PARAMETR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5" i="3" s="1"/>
  <c r="B4" i="3"/>
  <c r="F40" i="1"/>
  <c r="F39" i="1"/>
  <c r="F38" i="1"/>
  <c r="F37" i="1"/>
  <c r="F41" i="1" s="1"/>
  <c r="F48" i="1" s="1"/>
  <c r="F32" i="1"/>
  <c r="F31" i="1"/>
  <c r="F33" i="1" s="1"/>
  <c r="F47" i="1" s="1"/>
  <c r="F26" i="1"/>
  <c r="F27" i="1" s="1"/>
  <c r="F46" i="1" s="1"/>
  <c r="D20" i="1"/>
  <c r="D21" i="1" s="1"/>
  <c r="F21" i="1" s="1"/>
  <c r="F15" i="1"/>
  <c r="F14" i="1"/>
  <c r="F13" i="1"/>
  <c r="F12" i="1"/>
  <c r="F11" i="1"/>
  <c r="F10" i="1"/>
  <c r="F9" i="1"/>
  <c r="F8" i="1"/>
  <c r="F7" i="1"/>
  <c r="F6" i="1"/>
  <c r="F16" i="1" l="1"/>
  <c r="F44" i="1" s="1"/>
  <c r="F20" i="1"/>
  <c r="F22" i="1" s="1"/>
  <c r="F45" i="1" s="1"/>
  <c r="F49" i="1" s="1"/>
  <c r="F50" i="1" l="1"/>
  <c r="F51" i="1" s="1"/>
</calcChain>
</file>

<file path=xl/sharedStrings.xml><?xml version="1.0" encoding="utf-8"?>
<sst xmlns="http://schemas.openxmlformats.org/spreadsheetml/2006/main" count="213" uniqueCount="143">
  <si>
    <t>APU GLOBAL – SISTEMA DE PUESTA A TIERRA – IDFV_GD JAGUAR 0,90 MW – 2026</t>
  </si>
  <si>
    <t>Suministro, transporte, instalación y puesta en servicio del sistema de puesta a tierra conforme al plano COL-JAG-ELE-PL-011. Incluye malla CCS 1/0 AWG, electrodos, conexiones exotérmicas, jumpers, terminales, registro PAT, excavación/relleno, mano de obra, equipos, herramientas y medición final.</t>
  </si>
  <si>
    <t>1. MATERIALES E INSUMOS</t>
  </si>
  <si>
    <t>Ítem</t>
  </si>
  <si>
    <t>Descripción</t>
  </si>
  <si>
    <t>Unidad</t>
  </si>
  <si>
    <t>Cantidad</t>
  </si>
  <si>
    <t>Precio unitario</t>
  </si>
  <si>
    <t>Valor parcial</t>
  </si>
  <si>
    <t>Cable Copper Clad Steel 1/0 AWG – malla PAT</t>
  </si>
  <si>
    <t>m</t>
  </si>
  <si>
    <t>Varilla CopperClad Steel / Copperweld 5/8" x 2,40 m</t>
  </si>
  <si>
    <t>un</t>
  </si>
  <si>
    <t>Conexión en TEE 1/0–1/0 – Ref. TAC2C2C</t>
  </si>
  <si>
    <t>Conexión en X traslapada 1/0–1/0 – Ref. XBC2C2C</t>
  </si>
  <si>
    <t>Conexión GT cable 1/0 a varilla 5/8" – Ref. GTC162Q</t>
  </si>
  <si>
    <t>Material de soldadura exotérmica 90 g – Ref. 90PLUSF20</t>
  </si>
  <si>
    <t>Material de soldadura exotérmica 150 g – Ref. 150PLUSF20</t>
  </si>
  <si>
    <t>Terminal de un ojo 1/0 AWG barril corto – Ref. 3CC1TC1110</t>
  </si>
  <si>
    <t>Jumper puesta a tierra 8 AWG x 50 cm – Ref. EIG-8AWG-50</t>
  </si>
  <si>
    <t>Registro PAT</t>
  </si>
  <si>
    <t>SUBTOTAL MATERIALES</t>
  </si>
  <si>
    <t>2. OBRA CIVIL – EXCAVACIÓN Y RELLENO DE MALLA</t>
  </si>
  <si>
    <t>Excavación manual para malla PAT, profundidad 0,80 m; ancho provisional 0,30 m</t>
  </si>
  <si>
    <t>m³</t>
  </si>
  <si>
    <t>Relleno y compactación del material de excavación</t>
  </si>
  <si>
    <t>SUBTOTAL OBRA CIVIL</t>
  </si>
  <si>
    <t>3. TRANSPORTE</t>
  </si>
  <si>
    <t>Transporte de cable, varillas, soldaduras y accesorios – Barranquilla → obra</t>
  </si>
  <si>
    <t>viaje</t>
  </si>
  <si>
    <t>SUBTOTAL TRANSPORTE</t>
  </si>
  <si>
    <t>4. MANO DE OBRA – MONTAJE DEL SISTEMA</t>
  </si>
  <si>
    <t>Oficial electricista / liniero – ejecución PAT</t>
  </si>
  <si>
    <t>día</t>
  </si>
  <si>
    <t>Ayudante eléctrico – excavación, tendido y conexiones</t>
  </si>
  <si>
    <t>SUBTOTAL MANO DE OBRA</t>
  </si>
  <si>
    <t>5. EQUIPOS Y HERRAMIENTAS</t>
  </si>
  <si>
    <t>Uso/amortización de moldes de grafito para soldadura exotérmica T/X/GT</t>
  </si>
  <si>
    <t>global</t>
  </si>
  <si>
    <t>Chispero de ignición para soldadura exotérmica</t>
  </si>
  <si>
    <t>Herramienta menor: pala, barreta, cortacable, prensa, cepillos, EPP específico</t>
  </si>
  <si>
    <t>Telurómetro / equipo de medición de resistencia de puesta a tierra</t>
  </si>
  <si>
    <t>SUBTOTAL EQUIPOS/HERRAMIENTAS</t>
  </si>
  <si>
    <t>6. RESUMEN GLOBAL</t>
  </si>
  <si>
    <t>Materiales e insumos</t>
  </si>
  <si>
    <t>Obra civil</t>
  </si>
  <si>
    <t>Transporte</t>
  </si>
  <si>
    <t>Mano de obra</t>
  </si>
  <si>
    <t>Equipos y herramientas</t>
  </si>
  <si>
    <t>COSTO DIRECTO ANTES DE IVA</t>
  </si>
  <si>
    <t>IVA 19%</t>
  </si>
  <si>
    <t>TOTAL GLOBAL CON IVA</t>
  </si>
  <si>
    <t>7. SUPUESTOS Y ALCANCE</t>
  </si>
  <si>
    <t>• Las cantidades de materiales principales provienen directamente del listado de cantidades del plano: 563,62 m de cable CCS 1/0 AWG, 7 conexiones T, 2 conexiones X, 5 conexiones GT, 5 varillas 5/8 x 2,40 m, 12 cargas de 90 g, 2 cargas de 150 g, 7 terminales 1/0 AWG y 18 jumpers. fileciteturn5file0L135-L160</t>
  </si>
  <si>
    <t>• El plano indica profundidad de enterramiento de la malla de 0,80 m y exige medición de resistencia, tensiones de paso y contacto, con cumplimiento RETIE. Para subestaciones de media tensión establece resistencia final ≤10 Ω. fileciteturn5file0L181-L193</t>
  </si>
  <si>
    <t>• Para convertir la malla en volumen de excavación se adopta provisionalmente una zanja de 0,30 m de ancho × 0,80 m de profundidad. El plano no especifica el ancho de zanja, por lo que este componente debe verificarse antes de contratar.</t>
  </si>
  <si>
    <t>• Se aplica 2% de desperdicio al cable CCS, dejando 575,0 m de suministro para 563,62 m instalados.</t>
  </si>
  <si>
    <t>• Precio presupuestal del cable CCS 1/0 AWG: $18.500/m. No se encontró en la búsqueda una cotización colombiana pública actual específica para esta referencia; por tanto, este valor es una provisión de mercado y debe sustituirse por cotización del proveedor antes de cierre contractual.</t>
  </si>
  <si>
    <t>• Precio de varilla CopperClad/Copperweld 5/8 × 2,40 m: se toma referencia colombiana de mercado de $50.953 IVA incluido y se convierte a $42.817 antes de IVA. citeturn0search3</t>
  </si>
  <si>
    <t>• Soldadura exotérmica 90 g: $13.900 IVA incluido en Homecenter; se usa $11.681 antes de IVA. citeturn0search13</t>
  </si>
  <si>
    <t>• Terminal 1/0 AWG: referencia colombiana $4.371 IVA incluido; se usa $3.673 antes de IVA. citeturn0search2</t>
  </si>
  <si>
    <t>• Jumper EIG-8AWG-50: referencia colombiana $22.972,20 IVA incluido; se usa $19.304 antes de IVA. citeturn1search1</t>
  </si>
  <si>
    <t>• Conector bimetálico DBH-7 para rango 1/0–4/0: referencia $6.535 IVA incluido; se usa $5.492 antes de IVA. citeturn0search10</t>
  </si>
  <si>
    <t>• Para moldes de soldadura exotérmica se encuentra referencia de molde T 5/8–1/0 alrededor de $2,06 millones; en el APU se maneja como uso/amortización, no como compra completa. citeturn3search0turn3search2</t>
  </si>
  <si>
    <t>• Mano de obra: se usa oficial $127.159/día y ayudante $88.173/día como referencia APU 2026. La fuente consultada reporta esos valores y $30.552/m³ para excavación manual. citeturn0search0</t>
  </si>
  <si>
    <t>• El plano señala que las conexiones a tierra de equipos y estructuras se derivan de la malla y que las colas deben conectarse en el punto más cercano al equipo. fileciteturn5file0L183-L190</t>
  </si>
  <si>
    <t>• El plano corresponde al sistema de puesta a tierra del parque IDFV_GD Jaguar 0,90 MW; identifica 1.492,92 kWp DC, 3 inversores SUN2000-330KTL-H1 y 2.088 módulos. fileciteturn5file0L258-L268</t>
  </si>
  <si>
    <t>• Este APU no incluye tratamiento químico del terreno, cemento conductivo, GEM/aditivos, cámaras adicionales ni ampliación de electrodos porque no aparecen en el listado de cantidades suministrado.</t>
  </si>
  <si>
    <t>• El APU tampoco incluye pruebas VLF de cables de potencia; para PAT se incluye únicamente medición de resistencia mediante telurómetro. La aceptación final debe cumplir los valores exigidos por el diseño y RETIE.</t>
  </si>
  <si>
    <t>FUENTES DE CANTIDADES Y PRECIOS</t>
  </si>
  <si>
    <t>Concepto</t>
  </si>
  <si>
    <t>Fuente</t>
  </si>
  <si>
    <t>Valor/criterio</t>
  </si>
  <si>
    <t>Tipo</t>
  </si>
  <si>
    <t>Cantidades PAT</t>
  </si>
  <si>
    <t>Plano COL-JAG-ELE-PL-011</t>
  </si>
  <si>
    <t>563,62 m CCS 1/0; 7 T; 2 X; 5 GT; 5 varillas; 12 cargas 90g; 2 cargas 150g; 7 terminales; 18 jumpers</t>
  </si>
  <si>
    <t>Documento del proyecto</t>
  </si>
  <si>
    <t>Profundidad malla</t>
  </si>
  <si>
    <t>0,80 m</t>
  </si>
  <si>
    <t>Varilla 5/8 × 2,40 m</t>
  </si>
  <si>
    <t>Edemco Colombia</t>
  </si>
  <si>
    <t>$50.953 IVA incluido</t>
  </si>
  <si>
    <t>Mercado colombiano</t>
  </si>
  <si>
    <t>Soldadura #90</t>
  </si>
  <si>
    <t>Homecenter Colombia</t>
  </si>
  <si>
    <t>$13.900/un IVA incluido</t>
  </si>
  <si>
    <t>Terminal 1/0 AWG</t>
  </si>
  <si>
    <t>$4.371/un IVA incluido</t>
  </si>
  <si>
    <t>Jumper EIG-8AWG-50</t>
  </si>
  <si>
    <t>Centinela Group Colombia</t>
  </si>
  <si>
    <t>$22.972,20/un IVA incluido</t>
  </si>
  <si>
    <t>Conector bimetálico DBH-7</t>
  </si>
  <si>
    <t>$6.535/un IVA incluido</t>
  </si>
  <si>
    <t>Molde exotérmico T 5/8–1/0</t>
  </si>
  <si>
    <t>MercadoLibre Colombia</t>
  </si>
  <si>
    <t>≈$2.066.193/un</t>
  </si>
  <si>
    <t>Referencia de mercado; se amortiza</t>
  </si>
  <si>
    <t>Excavación manual</t>
  </si>
  <si>
    <t>PresuCosto 2026</t>
  </si>
  <si>
    <t>$30.552/m³</t>
  </si>
  <si>
    <t>APU 2026 Colombia</t>
  </si>
  <si>
    <t>Cable CCS 1/0</t>
  </si>
  <si>
    <t>Estimación presupuestal</t>
  </si>
  <si>
    <t>$18.500/m</t>
  </si>
  <si>
    <t>Sin cotización pública colombiana específica localizada; validar con proveedor</t>
  </si>
  <si>
    <t>Supuesto presupuestal</t>
  </si>
  <si>
    <t>$1.200.000/viaje</t>
  </si>
  <si>
    <t>Debe cotizarse según origen/carga/ruta</t>
  </si>
  <si>
    <t>Parámetro</t>
  </si>
  <si>
    <t>Valor</t>
  </si>
  <si>
    <t>Nota</t>
  </si>
  <si>
    <t>Cable instalado</t>
  </si>
  <si>
    <t>Según plano</t>
  </si>
  <si>
    <t>Desperdicio cable</t>
  </si>
  <si>
    <t>%</t>
  </si>
  <si>
    <t>2%</t>
  </si>
  <si>
    <t>Cable suministro</t>
  </si>
  <si>
    <t>Incluye desperdicio</t>
  </si>
  <si>
    <t>Precio cable CCS 1/0</t>
  </si>
  <si>
    <t>$/m</t>
  </si>
  <si>
    <t>Presupuesto</t>
  </si>
  <si>
    <t>Varilla 5/8x2,40</t>
  </si>
  <si>
    <t>$/un</t>
  </si>
  <si>
    <t>Neto de IVA</t>
  </si>
  <si>
    <t>Soldadura 90 g</t>
  </si>
  <si>
    <t>Soldadura 150 g</t>
  </si>
  <si>
    <t>Terminal 1/0</t>
  </si>
  <si>
    <t>Jumper 8 AWG</t>
  </si>
  <si>
    <t>Conector bimetálico</t>
  </si>
  <si>
    <t>Ancho zanja</t>
  </si>
  <si>
    <t>Supuesto</t>
  </si>
  <si>
    <t>Profundidad zanja</t>
  </si>
  <si>
    <t>Excavación</t>
  </si>
  <si>
    <t>Provisional</t>
  </si>
  <si>
    <t>Relleno</t>
  </si>
  <si>
    <t>Precio excavación</t>
  </si>
  <si>
    <t>$/m³</t>
  </si>
  <si>
    <t>APU 2026</t>
  </si>
  <si>
    <t>Precio relleno</t>
  </si>
  <si>
    <t>$/viaje</t>
  </si>
  <si>
    <t>IVA</t>
  </si>
  <si>
    <t>Separado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</si>
</sst>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\$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FFFF"/>
      <name val="Aptos Narrow"/>
    </font>
    <font>
      <b/>
      <sz val="11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2">
    <xf numFmtId="0" fontId="0" fillId="0" borderId="0"/>
    <xf numFmtId="44" fontId="1" fillId="0" borderId="0"/>
  </cellStyleXfs>
  <cellXfs count="25">
    <xf numFmtId="0" fontId="0" fillId="0" borderId="0" xfId="0"/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164" fontId="0" fillId="0" borderId="1" xfId="1" applyNumberFormat="1" applyFont="1" applyBorder="1"/>
    <xf numFmtId="164" fontId="0" fillId="0" borderId="1" xfId="0" applyNumberFormat="1" applyBorder="1"/>
    <xf numFmtId="164" fontId="3" fillId="4" borderId="1" xfId="0" applyNumberFormat="1" applyFont="1" applyFill="1" applyBorder="1"/>
    <xf numFmtId="44" fontId="0" fillId="0" borderId="1" xfId="1" applyFont="1" applyBorder="1"/>
    <xf numFmtId="44" fontId="0" fillId="0" borderId="1" xfId="0" applyNumberFormat="1" applyBorder="1"/>
    <xf numFmtId="44" fontId="4" fillId="2" borderId="1" xfId="1" applyFont="1" applyFill="1" applyBorder="1" applyAlignment="1">
      <alignment horizontal="center"/>
    </xf>
    <xf numFmtId="44" fontId="4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3" fillId="4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topLeftCell="A29" workbookViewId="0">
      <selection activeCell="G44" sqref="G44"/>
    </sheetView>
  </sheetViews>
  <sheetFormatPr baseColWidth="10" defaultRowHeight="14.4" x14ac:dyDescent="0.3"/>
  <cols>
    <col min="1" max="1" width="11" bestFit="1" customWidth="1"/>
    <col min="2" max="2" width="78" bestFit="1" customWidth="1"/>
    <col min="3" max="3" width="14" customWidth="1"/>
    <col min="4" max="5" width="18" bestFit="1" customWidth="1"/>
    <col min="6" max="6" width="22" bestFit="1" customWidth="1"/>
  </cols>
  <sheetData>
    <row r="1" spans="1:6" ht="18" x14ac:dyDescent="0.35">
      <c r="A1" s="20" t="s">
        <v>0</v>
      </c>
      <c r="B1" s="20"/>
      <c r="C1" s="20"/>
      <c r="D1" s="20"/>
      <c r="E1" s="20"/>
      <c r="F1" s="20"/>
    </row>
    <row r="2" spans="1:6" ht="58.05" customHeight="1" x14ac:dyDescent="0.3">
      <c r="A2" s="22" t="s">
        <v>1</v>
      </c>
      <c r="B2" s="15"/>
      <c r="C2" s="15"/>
      <c r="D2" s="15"/>
      <c r="E2" s="15"/>
      <c r="F2" s="15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23" t="s">
        <v>2</v>
      </c>
      <c r="B4" s="18"/>
      <c r="C4" s="18"/>
      <c r="D4" s="18"/>
      <c r="E4" s="18"/>
      <c r="F4" s="18"/>
    </row>
    <row r="5" spans="1:6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 x14ac:dyDescent="0.3">
      <c r="A6" s="1">
        <v>1</v>
      </c>
      <c r="B6" s="1" t="s">
        <v>9</v>
      </c>
      <c r="C6" s="1" t="s">
        <v>10</v>
      </c>
      <c r="D6" s="1">
        <v>574.89240000000007</v>
      </c>
      <c r="E6" s="3">
        <v>18500</v>
      </c>
      <c r="F6" s="4">
        <f t="shared" ref="F6:F15" si="0">D6*E6</f>
        <v>10635509.4</v>
      </c>
    </row>
    <row r="7" spans="1:6" x14ac:dyDescent="0.3">
      <c r="A7" s="1">
        <v>2</v>
      </c>
      <c r="B7" s="1" t="s">
        <v>11</v>
      </c>
      <c r="C7" s="1" t="s">
        <v>12</v>
      </c>
      <c r="D7" s="1">
        <v>5</v>
      </c>
      <c r="E7" s="3">
        <v>42817</v>
      </c>
      <c r="F7" s="4">
        <f t="shared" si="0"/>
        <v>214085</v>
      </c>
    </row>
    <row r="8" spans="1:6" x14ac:dyDescent="0.3">
      <c r="A8" s="1">
        <v>3</v>
      </c>
      <c r="B8" s="1" t="s">
        <v>13</v>
      </c>
      <c r="C8" s="1" t="s">
        <v>12</v>
      </c>
      <c r="D8" s="1">
        <v>7</v>
      </c>
      <c r="E8" s="3">
        <v>5492</v>
      </c>
      <c r="F8" s="4">
        <f t="shared" si="0"/>
        <v>38444</v>
      </c>
    </row>
    <row r="9" spans="1:6" x14ac:dyDescent="0.3">
      <c r="A9" s="1">
        <v>4</v>
      </c>
      <c r="B9" s="1" t="s">
        <v>14</v>
      </c>
      <c r="C9" s="1" t="s">
        <v>12</v>
      </c>
      <c r="D9" s="1">
        <v>2</v>
      </c>
      <c r="E9" s="3">
        <v>5492</v>
      </c>
      <c r="F9" s="4">
        <f t="shared" si="0"/>
        <v>10984</v>
      </c>
    </row>
    <row r="10" spans="1:6" x14ac:dyDescent="0.3">
      <c r="A10" s="1">
        <v>5</v>
      </c>
      <c r="B10" s="1" t="s">
        <v>15</v>
      </c>
      <c r="C10" s="1" t="s">
        <v>12</v>
      </c>
      <c r="D10" s="1">
        <v>5</v>
      </c>
      <c r="E10" s="3">
        <v>5492</v>
      </c>
      <c r="F10" s="4">
        <f t="shared" si="0"/>
        <v>27460</v>
      </c>
    </row>
    <row r="11" spans="1:6" x14ac:dyDescent="0.3">
      <c r="A11" s="1">
        <v>6</v>
      </c>
      <c r="B11" s="1" t="s">
        <v>16</v>
      </c>
      <c r="C11" s="1" t="s">
        <v>12</v>
      </c>
      <c r="D11" s="1">
        <v>12</v>
      </c>
      <c r="E11" s="3">
        <v>11681</v>
      </c>
      <c r="F11" s="4">
        <f t="shared" si="0"/>
        <v>140172</v>
      </c>
    </row>
    <row r="12" spans="1:6" x14ac:dyDescent="0.3">
      <c r="A12" s="1">
        <v>7</v>
      </c>
      <c r="B12" s="1" t="s">
        <v>17</v>
      </c>
      <c r="C12" s="1" t="s">
        <v>12</v>
      </c>
      <c r="D12" s="1">
        <v>2</v>
      </c>
      <c r="E12" s="3">
        <v>19000</v>
      </c>
      <c r="F12" s="4">
        <f t="shared" si="0"/>
        <v>38000</v>
      </c>
    </row>
    <row r="13" spans="1:6" x14ac:dyDescent="0.3">
      <c r="A13" s="1">
        <v>8</v>
      </c>
      <c r="B13" s="1" t="s">
        <v>18</v>
      </c>
      <c r="C13" s="1" t="s">
        <v>12</v>
      </c>
      <c r="D13" s="1">
        <v>7</v>
      </c>
      <c r="E13" s="3">
        <v>3673</v>
      </c>
      <c r="F13" s="4">
        <f t="shared" si="0"/>
        <v>25711</v>
      </c>
    </row>
    <row r="14" spans="1:6" x14ac:dyDescent="0.3">
      <c r="A14" s="1">
        <v>9</v>
      </c>
      <c r="B14" s="1" t="s">
        <v>19</v>
      </c>
      <c r="C14" s="1" t="s">
        <v>12</v>
      </c>
      <c r="D14" s="1">
        <v>18</v>
      </c>
      <c r="E14" s="3">
        <v>19304</v>
      </c>
      <c r="F14" s="4">
        <f t="shared" si="0"/>
        <v>347472</v>
      </c>
    </row>
    <row r="15" spans="1:6" x14ac:dyDescent="0.3">
      <c r="A15" s="1">
        <v>10</v>
      </c>
      <c r="B15" s="1" t="s">
        <v>20</v>
      </c>
      <c r="C15" s="1" t="s">
        <v>12</v>
      </c>
      <c r="D15" s="1">
        <v>1</v>
      </c>
      <c r="E15" s="3">
        <v>500000</v>
      </c>
      <c r="F15" s="4">
        <f t="shared" si="0"/>
        <v>500000</v>
      </c>
    </row>
    <row r="16" spans="1:6" x14ac:dyDescent="0.3">
      <c r="A16" s="17" t="s">
        <v>21</v>
      </c>
      <c r="B16" s="17"/>
      <c r="C16" s="17"/>
      <c r="D16" s="17"/>
      <c r="E16" s="17"/>
      <c r="F16" s="5">
        <f>SUM(F6:F15)</f>
        <v>11977837.4</v>
      </c>
    </row>
    <row r="17" spans="1:6" x14ac:dyDescent="0.3">
      <c r="A17" s="1"/>
      <c r="B17" s="1"/>
      <c r="C17" s="1"/>
      <c r="D17" s="1"/>
      <c r="E17" s="6"/>
      <c r="F17" s="7"/>
    </row>
    <row r="18" spans="1:6" x14ac:dyDescent="0.3">
      <c r="A18" s="18" t="s">
        <v>22</v>
      </c>
      <c r="B18" s="18"/>
      <c r="C18" s="18"/>
      <c r="D18" s="18"/>
      <c r="E18" s="18"/>
      <c r="F18" s="18"/>
    </row>
    <row r="19" spans="1:6" x14ac:dyDescent="0.3">
      <c r="A19" s="2" t="s">
        <v>3</v>
      </c>
      <c r="B19" s="2" t="s">
        <v>4</v>
      </c>
      <c r="C19" s="2" t="s">
        <v>5</v>
      </c>
      <c r="D19" s="2" t="s">
        <v>6</v>
      </c>
      <c r="E19" s="8" t="s">
        <v>7</v>
      </c>
      <c r="F19" s="9" t="s">
        <v>8</v>
      </c>
    </row>
    <row r="20" spans="1:6" x14ac:dyDescent="0.3">
      <c r="A20" s="1">
        <v>1</v>
      </c>
      <c r="B20" s="1" t="s">
        <v>23</v>
      </c>
      <c r="C20" s="1" t="s">
        <v>24</v>
      </c>
      <c r="D20" s="1">
        <f>563.62*0.3*0.8</f>
        <v>135.2688</v>
      </c>
      <c r="E20" s="3">
        <v>30552</v>
      </c>
      <c r="F20" s="4">
        <f>D20*E20</f>
        <v>4132732.3775999998</v>
      </c>
    </row>
    <row r="21" spans="1:6" x14ac:dyDescent="0.3">
      <c r="A21" s="1">
        <v>2</v>
      </c>
      <c r="B21" s="1" t="s">
        <v>25</v>
      </c>
      <c r="C21" s="1" t="s">
        <v>24</v>
      </c>
      <c r="D21" s="1">
        <f>D20</f>
        <v>135.2688</v>
      </c>
      <c r="E21" s="3">
        <v>50000</v>
      </c>
      <c r="F21" s="4">
        <f>D21*E21</f>
        <v>6763440</v>
      </c>
    </row>
    <row r="22" spans="1:6" x14ac:dyDescent="0.3">
      <c r="A22" s="17" t="s">
        <v>26</v>
      </c>
      <c r="B22" s="17"/>
      <c r="C22" s="17"/>
      <c r="D22" s="17"/>
      <c r="E22" s="17"/>
      <c r="F22" s="5">
        <f>SUM(F20:F21)</f>
        <v>10896172.377599999</v>
      </c>
    </row>
    <row r="23" spans="1:6" x14ac:dyDescent="0.3">
      <c r="A23" s="1"/>
      <c r="B23" s="1"/>
      <c r="C23" s="1"/>
      <c r="D23" s="1"/>
      <c r="E23" s="6"/>
      <c r="F23" s="7"/>
    </row>
    <row r="24" spans="1:6" x14ac:dyDescent="0.3">
      <c r="A24" s="18" t="s">
        <v>27</v>
      </c>
      <c r="B24" s="18"/>
      <c r="C24" s="18"/>
      <c r="D24" s="18"/>
      <c r="E24" s="18"/>
      <c r="F24" s="18"/>
    </row>
    <row r="25" spans="1:6" x14ac:dyDescent="0.3">
      <c r="A25" s="2" t="s">
        <v>3</v>
      </c>
      <c r="B25" s="2" t="s">
        <v>4</v>
      </c>
      <c r="C25" s="2" t="s">
        <v>5</v>
      </c>
      <c r="D25" s="2" t="s">
        <v>6</v>
      </c>
      <c r="E25" s="8" t="s">
        <v>7</v>
      </c>
      <c r="F25" s="9" t="s">
        <v>8</v>
      </c>
    </row>
    <row r="26" spans="1:6" x14ac:dyDescent="0.3">
      <c r="A26" s="10">
        <v>1</v>
      </c>
      <c r="B26" s="1" t="s">
        <v>28</v>
      </c>
      <c r="C26" s="1" t="s">
        <v>29</v>
      </c>
      <c r="D26" s="1">
        <v>1</v>
      </c>
      <c r="E26" s="4">
        <v>1200000</v>
      </c>
      <c r="F26" s="4">
        <f>D26*E26</f>
        <v>1200000</v>
      </c>
    </row>
    <row r="27" spans="1:6" x14ac:dyDescent="0.3">
      <c r="A27" s="17" t="s">
        <v>30</v>
      </c>
      <c r="B27" s="17"/>
      <c r="C27" s="17"/>
      <c r="D27" s="17"/>
      <c r="E27" s="17"/>
      <c r="F27" s="5">
        <f>F26</f>
        <v>1200000</v>
      </c>
    </row>
    <row r="28" spans="1:6" x14ac:dyDescent="0.3">
      <c r="A28" s="11"/>
      <c r="B28" s="1"/>
      <c r="C28" s="1"/>
      <c r="D28" s="1"/>
      <c r="E28" s="1"/>
      <c r="F28" s="1"/>
    </row>
    <row r="29" spans="1:6" x14ac:dyDescent="0.3">
      <c r="A29" s="18" t="s">
        <v>31</v>
      </c>
      <c r="B29" s="18"/>
      <c r="C29" s="18"/>
      <c r="D29" s="18"/>
      <c r="E29" s="18"/>
      <c r="F29" s="18"/>
    </row>
    <row r="30" spans="1:6" x14ac:dyDescent="0.3">
      <c r="A30" s="2" t="s">
        <v>3</v>
      </c>
      <c r="B30" s="2" t="s">
        <v>4</v>
      </c>
      <c r="C30" s="2" t="s">
        <v>5</v>
      </c>
      <c r="D30" s="2" t="s">
        <v>6</v>
      </c>
      <c r="E30" s="8" t="s">
        <v>7</v>
      </c>
      <c r="F30" s="9" t="s">
        <v>8</v>
      </c>
    </row>
    <row r="31" spans="1:6" x14ac:dyDescent="0.3">
      <c r="A31" s="1">
        <v>1</v>
      </c>
      <c r="B31" s="1" t="s">
        <v>32</v>
      </c>
      <c r="C31" s="1" t="s">
        <v>33</v>
      </c>
      <c r="D31" s="1">
        <v>15</v>
      </c>
      <c r="E31" s="3">
        <v>127159</v>
      </c>
      <c r="F31" s="4">
        <f>D31*E31</f>
        <v>1907385</v>
      </c>
    </row>
    <row r="32" spans="1:6" x14ac:dyDescent="0.3">
      <c r="A32" s="1">
        <v>2</v>
      </c>
      <c r="B32" s="1" t="s">
        <v>34</v>
      </c>
      <c r="C32" s="1" t="s">
        <v>33</v>
      </c>
      <c r="D32" s="1">
        <v>24</v>
      </c>
      <c r="E32" s="3">
        <v>88173</v>
      </c>
      <c r="F32" s="4">
        <f>D32*E32</f>
        <v>2116152</v>
      </c>
    </row>
    <row r="33" spans="1:6" x14ac:dyDescent="0.3">
      <c r="A33" s="17" t="s">
        <v>35</v>
      </c>
      <c r="B33" s="17"/>
      <c r="C33" s="17"/>
      <c r="D33" s="17"/>
      <c r="E33" s="17"/>
      <c r="F33" s="5">
        <f>SUM(F31:F32)</f>
        <v>4023537</v>
      </c>
    </row>
    <row r="34" spans="1:6" x14ac:dyDescent="0.3">
      <c r="A34" s="10"/>
      <c r="B34" s="1"/>
      <c r="C34" s="1"/>
      <c r="D34" s="1"/>
      <c r="E34" s="1"/>
      <c r="F34" s="7"/>
    </row>
    <row r="35" spans="1:6" x14ac:dyDescent="0.3">
      <c r="A35" s="18" t="s">
        <v>36</v>
      </c>
      <c r="B35" s="18"/>
      <c r="C35" s="18"/>
      <c r="D35" s="18"/>
      <c r="E35" s="18"/>
      <c r="F35" s="18"/>
    </row>
    <row r="36" spans="1:6" x14ac:dyDescent="0.3">
      <c r="A36" s="2" t="s">
        <v>3</v>
      </c>
      <c r="B36" s="2" t="s">
        <v>4</v>
      </c>
      <c r="C36" s="2" t="s">
        <v>5</v>
      </c>
      <c r="D36" s="2" t="s">
        <v>6</v>
      </c>
      <c r="E36" s="2" t="s">
        <v>7</v>
      </c>
      <c r="F36" s="2" t="s">
        <v>8</v>
      </c>
    </row>
    <row r="37" spans="1:6" x14ac:dyDescent="0.3">
      <c r="A37" s="1">
        <v>1</v>
      </c>
      <c r="B37" s="1" t="s">
        <v>37</v>
      </c>
      <c r="C37" s="1" t="s">
        <v>38</v>
      </c>
      <c r="D37" s="1">
        <v>1</v>
      </c>
      <c r="E37" s="4">
        <v>350000</v>
      </c>
      <c r="F37" s="4">
        <f>D37*E37</f>
        <v>350000</v>
      </c>
    </row>
    <row r="38" spans="1:6" x14ac:dyDescent="0.3">
      <c r="A38" s="1">
        <v>2</v>
      </c>
      <c r="B38" s="1" t="s">
        <v>39</v>
      </c>
      <c r="C38" s="1" t="s">
        <v>38</v>
      </c>
      <c r="D38" s="1">
        <v>1</v>
      </c>
      <c r="E38" s="3">
        <v>65000</v>
      </c>
      <c r="F38" s="4">
        <f>D38*E38</f>
        <v>65000</v>
      </c>
    </row>
    <row r="39" spans="1:6" x14ac:dyDescent="0.3">
      <c r="A39" s="1">
        <v>3</v>
      </c>
      <c r="B39" s="1" t="s">
        <v>40</v>
      </c>
      <c r="C39" s="1" t="s">
        <v>38</v>
      </c>
      <c r="D39" s="1">
        <v>1</v>
      </c>
      <c r="E39" s="3">
        <v>250000</v>
      </c>
      <c r="F39" s="4">
        <f>D39*E39</f>
        <v>250000</v>
      </c>
    </row>
    <row r="40" spans="1:6" x14ac:dyDescent="0.3">
      <c r="A40" s="1">
        <v>4</v>
      </c>
      <c r="B40" s="1" t="s">
        <v>41</v>
      </c>
      <c r="C40" s="1" t="s">
        <v>33</v>
      </c>
      <c r="D40" s="1">
        <v>1</v>
      </c>
      <c r="E40" s="3">
        <v>150000</v>
      </c>
      <c r="F40" s="4">
        <f>D40*E40</f>
        <v>150000</v>
      </c>
    </row>
    <row r="41" spans="1:6" x14ac:dyDescent="0.3">
      <c r="A41" s="17" t="s">
        <v>42</v>
      </c>
      <c r="B41" s="17"/>
      <c r="C41" s="17"/>
      <c r="D41" s="17"/>
      <c r="E41" s="17"/>
      <c r="F41" s="5">
        <f>SUM(F37:F40)</f>
        <v>815000</v>
      </c>
    </row>
    <row r="42" spans="1:6" x14ac:dyDescent="0.3">
      <c r="A42" s="10"/>
      <c r="B42" s="1"/>
      <c r="C42" s="1"/>
      <c r="D42" s="1"/>
      <c r="E42" s="1"/>
      <c r="F42" s="7"/>
    </row>
    <row r="43" spans="1:6" x14ac:dyDescent="0.3">
      <c r="A43" s="18" t="s">
        <v>43</v>
      </c>
      <c r="B43" s="18"/>
      <c r="C43" s="18"/>
      <c r="D43" s="18"/>
      <c r="E43" s="18"/>
      <c r="F43" s="18"/>
    </row>
    <row r="44" spans="1:6" x14ac:dyDescent="0.3">
      <c r="A44" s="21" t="s">
        <v>44</v>
      </c>
      <c r="B44" s="15"/>
      <c r="C44" s="15"/>
      <c r="D44" s="15"/>
      <c r="E44" s="15"/>
      <c r="F44" s="4">
        <f>F16</f>
        <v>11977837.4</v>
      </c>
    </row>
    <row r="45" spans="1:6" x14ac:dyDescent="0.3">
      <c r="A45" s="15" t="s">
        <v>45</v>
      </c>
      <c r="B45" s="15"/>
      <c r="C45" s="15"/>
      <c r="D45" s="15"/>
      <c r="E45" s="15"/>
      <c r="F45" s="4">
        <f>F22</f>
        <v>10896172.377599999</v>
      </c>
    </row>
    <row r="46" spans="1:6" x14ac:dyDescent="0.3">
      <c r="A46" s="15" t="s">
        <v>46</v>
      </c>
      <c r="B46" s="15"/>
      <c r="C46" s="15"/>
      <c r="D46" s="15"/>
      <c r="E46" s="15"/>
      <c r="F46" s="4">
        <f>F27</f>
        <v>1200000</v>
      </c>
    </row>
    <row r="47" spans="1:6" x14ac:dyDescent="0.3">
      <c r="A47" s="15" t="s">
        <v>47</v>
      </c>
      <c r="B47" s="15"/>
      <c r="C47" s="15"/>
      <c r="D47" s="15"/>
      <c r="E47" s="15"/>
      <c r="F47" s="4">
        <f>F33</f>
        <v>4023537</v>
      </c>
    </row>
    <row r="48" spans="1:6" x14ac:dyDescent="0.3">
      <c r="A48" s="14" t="s">
        <v>48</v>
      </c>
      <c r="B48" s="15"/>
      <c r="C48" s="15"/>
      <c r="D48" s="15"/>
      <c r="E48" s="15"/>
      <c r="F48" s="4">
        <f>F41</f>
        <v>815000</v>
      </c>
    </row>
    <row r="49" spans="1:6" x14ac:dyDescent="0.3">
      <c r="A49" s="17" t="s">
        <v>49</v>
      </c>
      <c r="B49" s="17"/>
      <c r="C49" s="17"/>
      <c r="D49" s="17"/>
      <c r="E49" s="17"/>
      <c r="F49" s="5">
        <f>SUM(F44:F48)</f>
        <v>28912546.777599998</v>
      </c>
    </row>
    <row r="50" spans="1:6" x14ac:dyDescent="0.3">
      <c r="A50" s="19" t="s">
        <v>50</v>
      </c>
      <c r="B50" s="17"/>
      <c r="C50" s="17"/>
      <c r="D50" s="17"/>
      <c r="E50" s="17"/>
      <c r="F50" s="5">
        <f>F49*19%</f>
        <v>5493383.8877439993</v>
      </c>
    </row>
    <row r="51" spans="1:6" x14ac:dyDescent="0.3">
      <c r="A51" s="17" t="s">
        <v>51</v>
      </c>
      <c r="B51" s="17"/>
      <c r="C51" s="17"/>
      <c r="D51" s="17"/>
      <c r="E51" s="17"/>
      <c r="F51" s="5">
        <f>F49+F50</f>
        <v>34405930.665344</v>
      </c>
    </row>
    <row r="52" spans="1:6" x14ac:dyDescent="0.3">
      <c r="A52" s="1"/>
      <c r="B52" s="1"/>
      <c r="C52" s="1"/>
      <c r="D52" s="1"/>
      <c r="E52" s="1"/>
      <c r="F52" s="1"/>
    </row>
    <row r="53" spans="1:6" x14ac:dyDescent="0.3">
      <c r="A53" s="1"/>
      <c r="B53" s="1"/>
      <c r="C53" s="1"/>
      <c r="D53" s="1"/>
      <c r="E53" s="1"/>
      <c r="F53" s="1"/>
    </row>
    <row r="54" spans="1:6" x14ac:dyDescent="0.3">
      <c r="A54" s="1"/>
      <c r="B54" s="1"/>
      <c r="C54" s="1"/>
      <c r="D54" s="1"/>
      <c r="E54" s="1"/>
      <c r="F54" s="1"/>
    </row>
    <row r="55" spans="1:6" x14ac:dyDescent="0.3">
      <c r="A55" s="18" t="s">
        <v>52</v>
      </c>
      <c r="B55" s="18"/>
      <c r="C55" s="18"/>
      <c r="D55" s="18"/>
      <c r="E55" s="18"/>
      <c r="F55" s="18"/>
    </row>
    <row r="56" spans="1:6" ht="42" customHeight="1" x14ac:dyDescent="0.3">
      <c r="A56" s="16" t="s">
        <v>53</v>
      </c>
      <c r="B56" s="15"/>
      <c r="C56" s="15"/>
      <c r="D56" s="15"/>
      <c r="E56" s="15"/>
      <c r="F56" s="15"/>
    </row>
    <row r="57" spans="1:6" ht="42" customHeight="1" x14ac:dyDescent="0.3">
      <c r="A57" s="16" t="s">
        <v>54</v>
      </c>
      <c r="B57" s="15"/>
      <c r="C57" s="15"/>
      <c r="D57" s="15"/>
      <c r="E57" s="15"/>
      <c r="F57" s="15"/>
    </row>
    <row r="58" spans="1:6" ht="42" customHeight="1" x14ac:dyDescent="0.3">
      <c r="A58" s="16" t="s">
        <v>55</v>
      </c>
      <c r="B58" s="15"/>
      <c r="C58" s="15"/>
      <c r="D58" s="15"/>
      <c r="E58" s="15"/>
      <c r="F58" s="15"/>
    </row>
    <row r="59" spans="1:6" ht="42" customHeight="1" x14ac:dyDescent="0.3">
      <c r="A59" s="16" t="s">
        <v>56</v>
      </c>
      <c r="B59" s="15"/>
      <c r="C59" s="15"/>
      <c r="D59" s="15"/>
      <c r="E59" s="15"/>
      <c r="F59" s="15"/>
    </row>
    <row r="60" spans="1:6" ht="42" customHeight="1" x14ac:dyDescent="0.3">
      <c r="A60" s="16" t="s">
        <v>57</v>
      </c>
      <c r="B60" s="15"/>
      <c r="C60" s="15"/>
      <c r="D60" s="15"/>
      <c r="E60" s="15"/>
      <c r="F60" s="15"/>
    </row>
    <row r="61" spans="1:6" ht="42" customHeight="1" x14ac:dyDescent="0.3">
      <c r="A61" s="16" t="s">
        <v>58</v>
      </c>
      <c r="B61" s="15"/>
      <c r="C61" s="15"/>
      <c r="D61" s="15"/>
      <c r="E61" s="15"/>
      <c r="F61" s="15"/>
    </row>
    <row r="62" spans="1:6" ht="42" customHeight="1" x14ac:dyDescent="0.3">
      <c r="A62" s="16" t="s">
        <v>59</v>
      </c>
      <c r="B62" s="15"/>
      <c r="C62" s="15"/>
      <c r="D62" s="15"/>
      <c r="E62" s="15"/>
      <c r="F62" s="15"/>
    </row>
    <row r="63" spans="1:6" ht="42" customHeight="1" x14ac:dyDescent="0.3">
      <c r="A63" s="16" t="s">
        <v>60</v>
      </c>
      <c r="B63" s="15"/>
      <c r="C63" s="15"/>
      <c r="D63" s="15"/>
      <c r="E63" s="15"/>
      <c r="F63" s="15"/>
    </row>
    <row r="64" spans="1:6" ht="42" customHeight="1" x14ac:dyDescent="0.3">
      <c r="A64" s="16" t="s">
        <v>61</v>
      </c>
      <c r="B64" s="15"/>
      <c r="C64" s="15"/>
      <c r="D64" s="15"/>
      <c r="E64" s="15"/>
      <c r="F64" s="15"/>
    </row>
    <row r="65" spans="1:6" ht="42" customHeight="1" x14ac:dyDescent="0.3">
      <c r="A65" s="16" t="s">
        <v>62</v>
      </c>
      <c r="B65" s="15"/>
      <c r="C65" s="15"/>
      <c r="D65" s="15"/>
      <c r="E65" s="15"/>
      <c r="F65" s="15"/>
    </row>
    <row r="66" spans="1:6" ht="42" customHeight="1" x14ac:dyDescent="0.3">
      <c r="A66" s="16" t="s">
        <v>63</v>
      </c>
      <c r="B66" s="15"/>
      <c r="C66" s="15"/>
      <c r="D66" s="15"/>
      <c r="E66" s="15"/>
      <c r="F66" s="15"/>
    </row>
    <row r="67" spans="1:6" ht="42" customHeight="1" x14ac:dyDescent="0.3">
      <c r="A67" s="16" t="s">
        <v>64</v>
      </c>
      <c r="B67" s="15"/>
      <c r="C67" s="15"/>
      <c r="D67" s="15"/>
      <c r="E67" s="15"/>
      <c r="F67" s="15"/>
    </row>
    <row r="68" spans="1:6" ht="42" customHeight="1" x14ac:dyDescent="0.3">
      <c r="A68" s="16" t="s">
        <v>65</v>
      </c>
      <c r="B68" s="15"/>
      <c r="C68" s="15"/>
      <c r="D68" s="15"/>
      <c r="E68" s="15"/>
      <c r="F68" s="15"/>
    </row>
    <row r="69" spans="1:6" ht="42" customHeight="1" x14ac:dyDescent="0.3">
      <c r="A69" s="16" t="s">
        <v>66</v>
      </c>
      <c r="B69" s="15"/>
      <c r="C69" s="15"/>
      <c r="D69" s="15"/>
      <c r="E69" s="15"/>
      <c r="F69" s="15"/>
    </row>
    <row r="70" spans="1:6" ht="42" customHeight="1" x14ac:dyDescent="0.3">
      <c r="A70" s="16" t="s">
        <v>67</v>
      </c>
      <c r="B70" s="15"/>
      <c r="C70" s="15"/>
      <c r="D70" s="15"/>
      <c r="E70" s="15"/>
      <c r="F70" s="15"/>
    </row>
    <row r="71" spans="1:6" ht="42" customHeight="1" x14ac:dyDescent="0.3">
      <c r="A71" s="16" t="s">
        <v>68</v>
      </c>
      <c r="B71" s="15"/>
      <c r="C71" s="15"/>
      <c r="D71" s="15"/>
      <c r="E71" s="15"/>
      <c r="F71" s="15"/>
    </row>
    <row r="72" spans="1:6" ht="42" customHeight="1" x14ac:dyDescent="0.3">
      <c r="A72" s="1"/>
      <c r="B72" s="1"/>
      <c r="C72" s="1"/>
      <c r="D72" s="1"/>
      <c r="E72" s="1"/>
      <c r="F72" s="1"/>
    </row>
    <row r="73" spans="1:6" x14ac:dyDescent="0.3">
      <c r="A73" s="1"/>
      <c r="B73" s="1"/>
      <c r="C73" s="1"/>
      <c r="D73" s="1"/>
      <c r="E73" s="1"/>
      <c r="F73" s="1"/>
    </row>
  </sheetData>
  <mergeCells count="38">
    <mergeCell ref="A71:F71"/>
    <mergeCell ref="A58:F58"/>
    <mergeCell ref="A1:F1"/>
    <mergeCell ref="A68:F68"/>
    <mergeCell ref="A44:E44"/>
    <mergeCell ref="A63:F63"/>
    <mergeCell ref="A49:E49"/>
    <mergeCell ref="A51:E51"/>
    <mergeCell ref="A18:F18"/>
    <mergeCell ref="A55:F55"/>
    <mergeCell ref="A2:F2"/>
    <mergeCell ref="A41:E41"/>
    <mergeCell ref="A35:F35"/>
    <mergeCell ref="A4:F4"/>
    <mergeCell ref="A60:F60"/>
    <mergeCell ref="A70:F70"/>
    <mergeCell ref="A29:F29"/>
    <mergeCell ref="A61:F61"/>
    <mergeCell ref="A50:E50"/>
    <mergeCell ref="A66:F66"/>
    <mergeCell ref="A47:E47"/>
    <mergeCell ref="A56:F56"/>
    <mergeCell ref="A62:F62"/>
    <mergeCell ref="A43:F43"/>
    <mergeCell ref="A33:E33"/>
    <mergeCell ref="A65:F65"/>
    <mergeCell ref="A57:F57"/>
    <mergeCell ref="A59:F59"/>
    <mergeCell ref="A67:F67"/>
    <mergeCell ref="A48:E48"/>
    <mergeCell ref="A64:F64"/>
    <mergeCell ref="A45:E45"/>
    <mergeCell ref="A69:F69"/>
    <mergeCell ref="A16:E16"/>
    <mergeCell ref="A46:E46"/>
    <mergeCell ref="A22:E22"/>
    <mergeCell ref="A24:F24"/>
    <mergeCell ref="A27:E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baseColWidth="10" defaultColWidth="8.88671875" defaultRowHeight="14.4" x14ac:dyDescent="0.3"/>
  <cols>
    <col min="1" max="1" width="34" customWidth="1"/>
    <col min="2" max="2" width="62" customWidth="1"/>
    <col min="3" max="3" width="48" customWidth="1"/>
    <col min="4" max="4" width="34" customWidth="1"/>
  </cols>
  <sheetData>
    <row r="1" spans="1:4" x14ac:dyDescent="0.3">
      <c r="A1" s="24" t="s">
        <v>69</v>
      </c>
      <c r="B1" s="24"/>
      <c r="C1" s="24"/>
      <c r="D1" s="24"/>
    </row>
    <row r="2" spans="1:4" x14ac:dyDescent="0.3">
      <c r="A2" s="12"/>
      <c r="B2" s="12"/>
      <c r="C2" s="12"/>
      <c r="D2" s="12"/>
    </row>
    <row r="3" spans="1:4" x14ac:dyDescent="0.3">
      <c r="A3" s="12" t="s">
        <v>70</v>
      </c>
      <c r="B3" s="12" t="s">
        <v>71</v>
      </c>
      <c r="C3" s="12" t="s">
        <v>72</v>
      </c>
      <c r="D3" s="12" t="s">
        <v>73</v>
      </c>
    </row>
    <row r="4" spans="1:4" ht="28.8" x14ac:dyDescent="0.3">
      <c r="A4" s="12" t="s">
        <v>74</v>
      </c>
      <c r="B4" s="12" t="s">
        <v>75</v>
      </c>
      <c r="C4" s="12" t="s">
        <v>76</v>
      </c>
      <c r="D4" s="12" t="s">
        <v>77</v>
      </c>
    </row>
    <row r="5" spans="1:4" x14ac:dyDescent="0.3">
      <c r="A5" s="12" t="s">
        <v>78</v>
      </c>
      <c r="B5" s="12" t="s">
        <v>75</v>
      </c>
      <c r="C5" s="12" t="s">
        <v>79</v>
      </c>
      <c r="D5" s="12" t="s">
        <v>77</v>
      </c>
    </row>
    <row r="6" spans="1:4" x14ac:dyDescent="0.3">
      <c r="A6" s="12" t="s">
        <v>80</v>
      </c>
      <c r="B6" s="12" t="s">
        <v>81</v>
      </c>
      <c r="C6" s="12" t="s">
        <v>82</v>
      </c>
      <c r="D6" s="12" t="s">
        <v>83</v>
      </c>
    </row>
    <row r="7" spans="1:4" x14ac:dyDescent="0.3">
      <c r="A7" s="12" t="s">
        <v>84</v>
      </c>
      <c r="B7" s="12" t="s">
        <v>85</v>
      </c>
      <c r="C7" s="12" t="s">
        <v>86</v>
      </c>
      <c r="D7" s="12" t="s">
        <v>83</v>
      </c>
    </row>
    <row r="8" spans="1:4" x14ac:dyDescent="0.3">
      <c r="A8" s="12" t="s">
        <v>87</v>
      </c>
      <c r="B8" s="12" t="s">
        <v>81</v>
      </c>
      <c r="C8" s="12" t="s">
        <v>88</v>
      </c>
      <c r="D8" s="12" t="s">
        <v>83</v>
      </c>
    </row>
    <row r="9" spans="1:4" x14ac:dyDescent="0.3">
      <c r="A9" s="12" t="s">
        <v>89</v>
      </c>
      <c r="B9" s="12" t="s">
        <v>90</v>
      </c>
      <c r="C9" s="12" t="s">
        <v>91</v>
      </c>
      <c r="D9" s="12" t="s">
        <v>83</v>
      </c>
    </row>
    <row r="10" spans="1:4" x14ac:dyDescent="0.3">
      <c r="A10" s="12" t="s">
        <v>92</v>
      </c>
      <c r="B10" s="12" t="s">
        <v>81</v>
      </c>
      <c r="C10" s="12" t="s">
        <v>93</v>
      </c>
      <c r="D10" s="12" t="s">
        <v>83</v>
      </c>
    </row>
    <row r="11" spans="1:4" x14ac:dyDescent="0.3">
      <c r="A11" s="12" t="s">
        <v>94</v>
      </c>
      <c r="B11" s="12" t="s">
        <v>95</v>
      </c>
      <c r="C11" s="12" t="s">
        <v>96</v>
      </c>
      <c r="D11" s="12" t="s">
        <v>97</v>
      </c>
    </row>
    <row r="12" spans="1:4" x14ac:dyDescent="0.3">
      <c r="A12" s="12" t="s">
        <v>98</v>
      </c>
      <c r="B12" s="12" t="s">
        <v>99</v>
      </c>
      <c r="C12" s="12" t="s">
        <v>100</v>
      </c>
      <c r="D12" s="12" t="s">
        <v>101</v>
      </c>
    </row>
    <row r="13" spans="1:4" ht="43.2" x14ac:dyDescent="0.3">
      <c r="A13" s="12" t="s">
        <v>102</v>
      </c>
      <c r="B13" s="12" t="s">
        <v>103</v>
      </c>
      <c r="C13" s="12" t="s">
        <v>104</v>
      </c>
      <c r="D13" s="12" t="s">
        <v>105</v>
      </c>
    </row>
    <row r="14" spans="1:4" x14ac:dyDescent="0.3">
      <c r="A14" s="12" t="s">
        <v>46</v>
      </c>
      <c r="B14" s="12" t="s">
        <v>106</v>
      </c>
      <c r="C14" s="12" t="s">
        <v>107</v>
      </c>
      <c r="D14" s="12" t="s">
        <v>108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/>
  </sheetViews>
  <sheetFormatPr baseColWidth="10" defaultColWidth="8.88671875" defaultRowHeight="14.4" x14ac:dyDescent="0.3"/>
  <cols>
    <col min="1" max="1" width="34" customWidth="1"/>
    <col min="2" max="2" width="62" customWidth="1"/>
    <col min="3" max="3" width="48" customWidth="1"/>
    <col min="4" max="4" width="34" customWidth="1"/>
  </cols>
  <sheetData>
    <row r="1" spans="1:4" x14ac:dyDescent="0.3">
      <c r="A1" s="13" t="s">
        <v>109</v>
      </c>
      <c r="B1" s="13" t="s">
        <v>110</v>
      </c>
      <c r="C1" s="13" t="s">
        <v>5</v>
      </c>
      <c r="D1" s="13" t="s">
        <v>111</v>
      </c>
    </row>
    <row r="2" spans="1:4" x14ac:dyDescent="0.3">
      <c r="A2" s="12" t="s">
        <v>112</v>
      </c>
      <c r="B2" s="12">
        <v>563.62</v>
      </c>
      <c r="C2" s="12" t="s">
        <v>10</v>
      </c>
      <c r="D2" s="12" t="s">
        <v>113</v>
      </c>
    </row>
    <row r="3" spans="1:4" x14ac:dyDescent="0.3">
      <c r="A3" s="12" t="s">
        <v>114</v>
      </c>
      <c r="B3" s="12">
        <v>0.02</v>
      </c>
      <c r="C3" s="12" t="s">
        <v>115</v>
      </c>
      <c r="D3" s="12" t="s">
        <v>116</v>
      </c>
    </row>
    <row r="4" spans="1:4" x14ac:dyDescent="0.3">
      <c r="A4" s="12" t="s">
        <v>117</v>
      </c>
      <c r="B4" s="12">
        <f>B2*(1+B3)</f>
        <v>574.89240000000007</v>
      </c>
      <c r="C4" s="12" t="s">
        <v>10</v>
      </c>
      <c r="D4" s="12" t="s">
        <v>118</v>
      </c>
    </row>
    <row r="5" spans="1:4" x14ac:dyDescent="0.3">
      <c r="A5" s="12" t="s">
        <v>119</v>
      </c>
      <c r="B5" s="12">
        <v>18500</v>
      </c>
      <c r="C5" s="12" t="s">
        <v>120</v>
      </c>
      <c r="D5" s="12" t="s">
        <v>121</v>
      </c>
    </row>
    <row r="6" spans="1:4" x14ac:dyDescent="0.3">
      <c r="A6" s="12" t="s">
        <v>122</v>
      </c>
      <c r="B6" s="12">
        <v>42817</v>
      </c>
      <c r="C6" s="12" t="s">
        <v>123</v>
      </c>
      <c r="D6" s="12" t="s">
        <v>124</v>
      </c>
    </row>
    <row r="7" spans="1:4" x14ac:dyDescent="0.3">
      <c r="A7" s="12" t="s">
        <v>125</v>
      </c>
      <c r="B7" s="12">
        <v>11681</v>
      </c>
      <c r="C7" s="12" t="s">
        <v>123</v>
      </c>
      <c r="D7" s="12" t="s">
        <v>124</v>
      </c>
    </row>
    <row r="8" spans="1:4" x14ac:dyDescent="0.3">
      <c r="A8" s="12" t="s">
        <v>126</v>
      </c>
      <c r="B8" s="12">
        <v>19000</v>
      </c>
      <c r="C8" s="12" t="s">
        <v>123</v>
      </c>
      <c r="D8" s="12" t="s">
        <v>121</v>
      </c>
    </row>
    <row r="9" spans="1:4" x14ac:dyDescent="0.3">
      <c r="A9" s="12" t="s">
        <v>127</v>
      </c>
      <c r="B9" s="12">
        <v>3673</v>
      </c>
      <c r="C9" s="12" t="s">
        <v>123</v>
      </c>
      <c r="D9" s="12" t="s">
        <v>124</v>
      </c>
    </row>
    <row r="10" spans="1:4" x14ac:dyDescent="0.3">
      <c r="A10" s="12" t="s">
        <v>128</v>
      </c>
      <c r="B10" s="12">
        <v>19304</v>
      </c>
      <c r="C10" s="12" t="s">
        <v>123</v>
      </c>
      <c r="D10" s="12" t="s">
        <v>124</v>
      </c>
    </row>
    <row r="11" spans="1:4" x14ac:dyDescent="0.3">
      <c r="A11" s="12" t="s">
        <v>129</v>
      </c>
      <c r="B11" s="12">
        <v>5492</v>
      </c>
      <c r="C11" s="12" t="s">
        <v>123</v>
      </c>
      <c r="D11" s="12" t="s">
        <v>124</v>
      </c>
    </row>
    <row r="12" spans="1:4" x14ac:dyDescent="0.3">
      <c r="A12" s="12" t="s">
        <v>130</v>
      </c>
      <c r="B12" s="12">
        <v>0.3</v>
      </c>
      <c r="C12" s="12" t="s">
        <v>10</v>
      </c>
      <c r="D12" s="12" t="s">
        <v>131</v>
      </c>
    </row>
    <row r="13" spans="1:4" x14ac:dyDescent="0.3">
      <c r="A13" s="12" t="s">
        <v>132</v>
      </c>
      <c r="B13" s="12">
        <v>0.8</v>
      </c>
      <c r="C13" s="12" t="s">
        <v>10</v>
      </c>
      <c r="D13" s="12" t="s">
        <v>113</v>
      </c>
    </row>
    <row r="14" spans="1:4" x14ac:dyDescent="0.3">
      <c r="A14" s="12" t="s">
        <v>133</v>
      </c>
      <c r="B14" s="12">
        <f>B2*B12*B13</f>
        <v>135.2688</v>
      </c>
      <c r="C14" s="12" t="s">
        <v>24</v>
      </c>
      <c r="D14" s="12" t="s">
        <v>134</v>
      </c>
    </row>
    <row r="15" spans="1:4" x14ac:dyDescent="0.3">
      <c r="A15" s="12" t="s">
        <v>135</v>
      </c>
      <c r="B15" s="12">
        <f>B14</f>
        <v>135.2688</v>
      </c>
      <c r="C15" s="12" t="s">
        <v>24</v>
      </c>
      <c r="D15" s="12" t="s">
        <v>134</v>
      </c>
    </row>
    <row r="16" spans="1:4" x14ac:dyDescent="0.3">
      <c r="A16" s="12" t="s">
        <v>136</v>
      </c>
      <c r="B16" s="12">
        <v>30552</v>
      </c>
      <c r="C16" s="12" t="s">
        <v>137</v>
      </c>
      <c r="D16" s="12" t="s">
        <v>138</v>
      </c>
    </row>
    <row r="17" spans="1:4" x14ac:dyDescent="0.3">
      <c r="A17" s="12" t="s">
        <v>139</v>
      </c>
      <c r="B17" s="12">
        <v>50000</v>
      </c>
      <c r="C17" s="12" t="s">
        <v>137</v>
      </c>
      <c r="D17" s="12" t="s">
        <v>121</v>
      </c>
    </row>
    <row r="18" spans="1:4" x14ac:dyDescent="0.3">
      <c r="A18" s="12" t="s">
        <v>46</v>
      </c>
      <c r="B18" s="12">
        <v>1200000</v>
      </c>
      <c r="C18" s="12" t="s">
        <v>140</v>
      </c>
      <c r="D18" s="12" t="s">
        <v>121</v>
      </c>
    </row>
    <row r="19" spans="1:4" x14ac:dyDescent="0.3">
      <c r="A19" s="12" t="s">
        <v>141</v>
      </c>
      <c r="B19" s="12">
        <v>0.19</v>
      </c>
      <c r="C19" s="12" t="s">
        <v>115</v>
      </c>
      <c r="D19" s="12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ESTRUCTURA APU</vt:lpstr>
      <vt:lpstr>FUENTES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juliio cesar bustamante cortina</dc:creator>
  <cp:lastModifiedBy>juliio cesar bustamante cortina</cp:lastModifiedBy>
  <dcterms:created xsi:type="dcterms:W3CDTF">2026-09-06T13:47:59Z</dcterms:created>
  <dcterms:modified xsi:type="dcterms:W3CDTF">2026-09-07T00:56:24Z</dcterms:modified>
</cp:coreProperties>
</file>