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BUSTAMANTE\Documents\e-SUN POWER\"/>
    </mc:Choice>
  </mc:AlternateContent>
  <xr:revisionPtr revIDLastSave="0" documentId="8_{0AC6E701-CA61-42F2-B978-093DB0FEF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UCTURA APU" sheetId="1" r:id="rId1"/>
    <sheet name="FUENTES" sheetId="2" r:id="rId2"/>
    <sheet name="PARA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F25" i="1"/>
  <c r="F24" i="1"/>
  <c r="D19" i="1"/>
  <c r="F19" i="1" s="1"/>
  <c r="F20" i="1" s="1"/>
  <c r="F14" i="1"/>
  <c r="F13" i="1"/>
  <c r="D13" i="1"/>
  <c r="F12" i="1"/>
  <c r="D12" i="1"/>
  <c r="D11" i="1"/>
  <c r="F11" i="1" s="1"/>
  <c r="F15" i="1" s="1"/>
  <c r="F6" i="1"/>
  <c r="F7" i="1" s="1"/>
  <c r="F26" i="1" l="1"/>
  <c r="F29" i="1" s="1"/>
  <c r="F30" i="1" l="1"/>
  <c r="F31" i="1" s="1"/>
</calcChain>
</file>

<file path=xl/sharedStrings.xml><?xml version="1.0" encoding="utf-8"?>
<sst xmlns="http://schemas.openxmlformats.org/spreadsheetml/2006/main" count="146" uniqueCount="110">
  <si>
    <t>SUMINISTRO E INSTALACIÓN CABLE MT CENTELSA XLPE AL 90°C 1/0 AWG 15 kV 100% PC PVC SR – APU 2026</t>
  </si>
  <si>
    <t>Unidad de pago: metro lineal instalado. Incluye suministro del cable de media tensión, desperdicio, transporte, tendido por ductos subterráneos con cuadrilla de linieros y ayudantes, malacate eléctrico con winche y herramienta de tendido. No incluye terminales, empalmes, pruebas VLF/aislamiento, mufas, obra civil ni puesta en servicio.</t>
  </si>
  <si>
    <t>1. MATERIALES E INSUMOS</t>
  </si>
  <si>
    <t>Ítem</t>
  </si>
  <si>
    <t>Material / recurso</t>
  </si>
  <si>
    <t>Unidad</t>
  </si>
  <si>
    <t>Cantidad / ML</t>
  </si>
  <si>
    <t>Precio unitario</t>
  </si>
  <si>
    <t>Valor parcial / ML</t>
  </si>
  <si>
    <t>Cable Centelsa XLPE AL 90°C 1/0 AWG 15 kV 100% PC PVC SR – Transformador de potencia</t>
  </si>
  <si>
    <t>ML</t>
  </si>
  <si>
    <t>SUBTOTAL MATERIALES E INSUMOS</t>
  </si>
  <si>
    <t>2. MAQUINARIA, EQUIPOS Y HERRAMIENTA</t>
  </si>
  <si>
    <t>Malacate eléctrico con winche para tendido de cable MT</t>
  </si>
  <si>
    <t>DÍA</t>
  </si>
  <si>
    <t>Portabobinas / caballetes para carrete de cable</t>
  </si>
  <si>
    <t>Poleas y rodillos de tendido para ductos</t>
  </si>
  <si>
    <t>Herramienta menor de tendido</t>
  </si>
  <si>
    <t>SUBTOTAL EQUIPOS/HERRAMIENTA</t>
  </si>
  <si>
    <t>3. TRANSPORTE</t>
  </si>
  <si>
    <t>Transporte terrestre de cable MT en carrete, bodega Barranquilla → obra Galapa</t>
  </si>
  <si>
    <t>VIAJE</t>
  </si>
  <si>
    <t>SUBTOTAL TRANSPORTE</t>
  </si>
  <si>
    <t>4. MANO DE OBRA – TENDIDO DE CABLE MT POR DUCTOS SUBTERRÁNEOS</t>
  </si>
  <si>
    <t>Liniero eléctrico MT – tendido de cable</t>
  </si>
  <si>
    <t>Ayudante eléctrico – tendido y alimentación de cable</t>
  </si>
  <si>
    <t>SUBTOTAL MANO DE OBRA</t>
  </si>
  <si>
    <t>5. RESUMEN</t>
  </si>
  <si>
    <t>Costo directo antes de IVA / ML</t>
  </si>
  <si>
    <t>IVA 19%</t>
  </si>
  <si>
    <t>Total con IVA / ML</t>
  </si>
  <si>
    <t>6. PARÁMETROS, RENDIMIENTO Y ALCANCE</t>
  </si>
  <si>
    <t>• Precio del cable: $41.500/ML antes de IVA, suministrado por el usuario.</t>
  </si>
  <si>
    <t>• Desperdicio adoptado: 2%, equivalente a 1,02 ML de suministro por cada 1,00 ML instalado.</t>
  </si>
  <si>
    <t>• Rendimiento adoptado: 300 ML/día con cuadrilla de 2 linieros MT + 2 ayudantes y malacate eléctrico. Es un rendimiento presupuestal para cable MT por ductos; debe validarse según longitud de tramo, diámetro y condición del ducto, radios de curvatura, número de curvas y registros.</t>
  </si>
  <si>
    <t>• Para cable MT se incorporan portabobinas/caballetes y poleas/rodillos, además del malacate, porque el manejo del carrete y el control de tensión son críticos durante el tendido.</t>
  </si>
  <si>
    <t>• Malacate eléctrico con winche: $350.000/día como valor presupuestal. Existe referencia 2026 de alquiler de malacate No. 4 por $3.500.000 en oferta mensual; adicionalmente, procedimientos de tendido de conductores contemplan malacates, winches, rebobinadores, poleas y giradores como equipos de tendido. citeturn0search0turn0search1</t>
  </si>
  <si>
    <t>• Mano de obra: se adoptan $143.709/día para liniero especializado y $127.963/día para ayudante como referencias 2026 con prestaciones; el mercado real puede variar por certificación, riesgo eléctrico y experiencia. citeturn0search2turn0search3</t>
  </si>
  <si>
    <t>• Transporte: $1.200.000/viaje, prorrateado sobre 500 ML por viaje = $2.400/ML. Debe ajustarse con cotización real según longitud total, número de carretes, peso y ruta.</t>
  </si>
  <si>
    <t>• El APU contempla únicamente tendido dentro de ductos subterráneos existentes. No incluye excavación, construcción de ductos/registros, mandrilado o limpieza previa, terminales premoldeadas, conectores, empalmes, mufas, pruebas VLF, resistencia de aislamiento, continuidad de pantalla, pruebas de cubierta, certificación RETIE ni energización.</t>
  </si>
  <si>
    <t>• El cable es de media tensión para conexión al transformador de potencia; cualquier accesorio de terminación debe presupuestarse en APU independiente por extremo.</t>
  </si>
  <si>
    <t>FUENTES Y CRITERIOS</t>
  </si>
  <si>
    <t>Concepto</t>
  </si>
  <si>
    <t>Fuente</t>
  </si>
  <si>
    <t>Dato utilizado</t>
  </si>
  <si>
    <t>Observación</t>
  </si>
  <si>
    <t>Cable Centelsa</t>
  </si>
  <si>
    <t>Especificación indicada por el usuario</t>
  </si>
  <si>
    <t>XLPE AL 90°C 1/0 AWG 15 kV 100% PC PVC SR</t>
  </si>
  <si>
    <t>El precio y descripción se toman del requerimiento; no se altera la especificación.</t>
  </si>
  <si>
    <t>Precio cable</t>
  </si>
  <si>
    <t>Usuario</t>
  </si>
  <si>
    <t>$41.500/ML + IVA</t>
  </si>
  <si>
    <t>Precio de suministro indicado.</t>
  </si>
  <si>
    <t>Malacate / winche</t>
  </si>
  <si>
    <t>Oferta Grupo Cosecol 2026</t>
  </si>
  <si>
    <t>Malacate No. 4: $3.500.000</t>
  </si>
  <si>
    <t>Referencia de alquiler; para el APU se adopta $350.000/día como costo de uso presupuestal. citeturn0search0</t>
  </si>
  <si>
    <t>Equipos de tendido</t>
  </si>
  <si>
    <t>GTA Colombia – procedimiento 2025</t>
  </si>
  <si>
    <t>Malacates 5.000/9.000 kg, malacates U6/winche, rebobinadores, poleas, giradores, etc.</t>
  </si>
  <si>
    <t>Respalda la necesidad de equipo especializado para tendido. citeturn0search1</t>
  </si>
  <si>
    <t>Mano de obra 2026</t>
  </si>
  <si>
    <t>PresuCosto</t>
  </si>
  <si>
    <t>Ayudante $127.963/día; oficial $187.060/día</t>
  </si>
  <si>
    <t>Para el APU se usa ayudante $127.963 y liniero especializado $143.709, valor presupuestal intermedio. citeturn0search3</t>
  </si>
  <si>
    <t>Liniero eléctrico</t>
  </si>
  <si>
    <t>Servicio Público de Empleo, oferta 2026</t>
  </si>
  <si>
    <t>Cargo especializado en redes MT/BT, CONTE TE-5, $2.698.486 + prestaciones</t>
  </si>
  <si>
    <t>Confirma la especialización y nivel de responsabilidad del cargo. citeturn0search5</t>
  </si>
  <si>
    <t>Transporte</t>
  </si>
  <si>
    <t>Supuesto APU</t>
  </si>
  <si>
    <t>$1.200.000/viaje; 500 ML/viaje</t>
  </si>
  <si>
    <t>Debe cotizarse según carrete, peso, distancia y cantidad total.</t>
  </si>
  <si>
    <t>Parámetro</t>
  </si>
  <si>
    <t>Valor</t>
  </si>
  <si>
    <t>Nota</t>
  </si>
  <si>
    <t>$/ML</t>
  </si>
  <si>
    <t>Antes de IVA</t>
  </si>
  <si>
    <t>Desperdicio</t>
  </si>
  <si>
    <t>%</t>
  </si>
  <si>
    <t>2%</t>
  </si>
  <si>
    <t>Cantidad cable APU</t>
  </si>
  <si>
    <t>ML/ML instalado</t>
  </si>
  <si>
    <t>Incluye desperdicio</t>
  </si>
  <si>
    <t>Rendimiento cuadrilla</t>
  </si>
  <si>
    <t>ML/día</t>
  </si>
  <si>
    <t>2 linieros MT + 2 ayudantes</t>
  </si>
  <si>
    <t>Linieros MT</t>
  </si>
  <si>
    <t>personas</t>
  </si>
  <si>
    <t>Tendido</t>
  </si>
  <si>
    <t>Ayudantes eléctricos</t>
  </si>
  <si>
    <t>Jornal liniero especializado</t>
  </si>
  <si>
    <t>$/día</t>
  </si>
  <si>
    <t>Referencia presupuestal 2026</t>
  </si>
  <si>
    <t>Jornal ayudante</t>
  </si>
  <si>
    <t>Referencia APU 2026</t>
  </si>
  <si>
    <t>Malacate eléctrico</t>
  </si>
  <si>
    <t>Valor presupuestal</t>
  </si>
  <si>
    <t>Portabobinas/caballetes</t>
  </si>
  <si>
    <t>Poleas/rodillos</t>
  </si>
  <si>
    <t>$/viaje</t>
  </si>
  <si>
    <t>Presupuesto</t>
  </si>
  <si>
    <t>ML por viaje</t>
  </si>
  <si>
    <t>ML/viaje</t>
  </si>
  <si>
    <t>Prorrateo</t>
  </si>
  <si>
    <t>Transporte unitario</t>
  </si>
  <si>
    <t>Fórmula</t>
  </si>
  <si>
    <t>IVA</t>
  </si>
  <si>
    <t>Mostrar separado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</si>
</sst>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4" fontId="1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4" fontId="0" fillId="0" borderId="1" xfId="0" applyNumberFormat="1" applyBorder="1"/>
    <xf numFmtId="0" fontId="0" fillId="0" borderId="2" xfId="0" applyBorder="1"/>
    <xf numFmtId="0" fontId="4" fillId="2" borderId="2" xfId="0" applyFont="1" applyFill="1" applyBorder="1" applyAlignment="1">
      <alignment horizontal="center"/>
    </xf>
    <xf numFmtId="164" fontId="0" fillId="0" borderId="2" xfId="1" applyNumberFormat="1" applyFont="1" applyBorder="1"/>
    <xf numFmtId="164" fontId="0" fillId="0" borderId="2" xfId="0" applyNumberFormat="1" applyBorder="1"/>
    <xf numFmtId="164" fontId="3" fillId="4" borderId="2" xfId="0" applyNumberFormat="1" applyFont="1" applyFill="1" applyBorder="1"/>
    <xf numFmtId="44" fontId="0" fillId="0" borderId="2" xfId="1" applyFont="1" applyBorder="1"/>
    <xf numFmtId="44" fontId="0" fillId="0" borderId="2" xfId="0" applyNumberFormat="1" applyBorder="1"/>
    <xf numFmtId="44" fontId="4" fillId="2" borderId="2" xfId="1" applyFont="1" applyFill="1" applyBorder="1" applyAlignment="1">
      <alignment horizontal="center"/>
    </xf>
    <xf numFmtId="44" fontId="4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/>
    </xf>
    <xf numFmtId="0" fontId="4" fillId="2" borderId="2" xfId="0" applyFont="1" applyFill="1" applyBorder="1" applyAlignment="1">
      <alignment vertical="top" wrapText="1"/>
    </xf>
    <xf numFmtId="0" fontId="3" fillId="4" borderId="2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" workbookViewId="0">
      <selection activeCell="A26" sqref="A26:E26"/>
    </sheetView>
  </sheetViews>
  <sheetFormatPr baseColWidth="10" defaultRowHeight="14.4" x14ac:dyDescent="0.3"/>
  <cols>
    <col min="1" max="1" width="11" bestFit="1" customWidth="1"/>
    <col min="2" max="2" width="76" bestFit="1" customWidth="1"/>
    <col min="3" max="3" width="14" customWidth="1"/>
    <col min="4" max="5" width="18" bestFit="1" customWidth="1"/>
    <col min="6" max="6" width="20" bestFit="1" customWidth="1"/>
  </cols>
  <sheetData>
    <row r="1" spans="1:6" ht="18" x14ac:dyDescent="0.35">
      <c r="A1" s="25" t="s">
        <v>0</v>
      </c>
      <c r="B1" s="25"/>
      <c r="C1" s="25"/>
      <c r="D1" s="25"/>
      <c r="E1" s="25"/>
      <c r="F1" s="25"/>
    </row>
    <row r="2" spans="1:6" ht="55.05" customHeight="1" x14ac:dyDescent="0.3">
      <c r="A2" s="24" t="s">
        <v>1</v>
      </c>
      <c r="B2" s="19"/>
      <c r="C2" s="19"/>
      <c r="D2" s="19"/>
      <c r="E2" s="19"/>
      <c r="F2" s="19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20" t="s">
        <v>2</v>
      </c>
      <c r="B4" s="21"/>
      <c r="C4" s="21"/>
      <c r="D4" s="21"/>
      <c r="E4" s="21"/>
      <c r="F4" s="21"/>
    </row>
    <row r="5" spans="1:6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spans="1:6" x14ac:dyDescent="0.3">
      <c r="A6" s="5">
        <v>1</v>
      </c>
      <c r="B6" s="5" t="s">
        <v>9</v>
      </c>
      <c r="C6" s="5" t="s">
        <v>10</v>
      </c>
      <c r="D6" s="5">
        <v>1.02</v>
      </c>
      <c r="E6" s="7">
        <v>41500</v>
      </c>
      <c r="F6" s="8">
        <f>D6*E6</f>
        <v>42330</v>
      </c>
    </row>
    <row r="7" spans="1:6" x14ac:dyDescent="0.3">
      <c r="A7" s="17" t="s">
        <v>11</v>
      </c>
      <c r="B7" s="17"/>
      <c r="C7" s="17"/>
      <c r="D7" s="17"/>
      <c r="E7" s="17"/>
      <c r="F7" s="9">
        <f>F6</f>
        <v>42330</v>
      </c>
    </row>
    <row r="8" spans="1:6" x14ac:dyDescent="0.3">
      <c r="A8" s="5"/>
      <c r="B8" s="5"/>
      <c r="C8" s="5"/>
      <c r="D8" s="5"/>
      <c r="E8" s="10"/>
      <c r="F8" s="11"/>
    </row>
    <row r="9" spans="1:6" x14ac:dyDescent="0.3">
      <c r="A9" s="21" t="s">
        <v>12</v>
      </c>
      <c r="B9" s="21"/>
      <c r="C9" s="21"/>
      <c r="D9" s="21"/>
      <c r="E9" s="21"/>
      <c r="F9" s="21"/>
    </row>
    <row r="10" spans="1:6" x14ac:dyDescent="0.3">
      <c r="A10" s="6" t="s">
        <v>3</v>
      </c>
      <c r="B10" s="6" t="s">
        <v>4</v>
      </c>
      <c r="C10" s="6" t="s">
        <v>5</v>
      </c>
      <c r="D10" s="6" t="s">
        <v>6</v>
      </c>
      <c r="E10" s="12" t="s">
        <v>7</v>
      </c>
      <c r="F10" s="13" t="s">
        <v>8</v>
      </c>
    </row>
    <row r="11" spans="1:6" x14ac:dyDescent="0.3">
      <c r="A11" s="5">
        <v>1</v>
      </c>
      <c r="B11" s="5" t="s">
        <v>13</v>
      </c>
      <c r="C11" s="5" t="s">
        <v>14</v>
      </c>
      <c r="D11" s="5">
        <f>1/300</f>
        <v>3.3333333333333335E-3</v>
      </c>
      <c r="E11" s="7">
        <v>350000</v>
      </c>
      <c r="F11" s="8">
        <f>D11*E11</f>
        <v>1166.6666666666667</v>
      </c>
    </row>
    <row r="12" spans="1:6" x14ac:dyDescent="0.3">
      <c r="A12" s="5">
        <v>2</v>
      </c>
      <c r="B12" s="5" t="s">
        <v>15</v>
      </c>
      <c r="C12" s="5" t="s">
        <v>14</v>
      </c>
      <c r="D12" s="5">
        <f>1/300</f>
        <v>3.3333333333333335E-3</v>
      </c>
      <c r="E12" s="7">
        <v>180000</v>
      </c>
      <c r="F12" s="8">
        <f>D12*E12</f>
        <v>600</v>
      </c>
    </row>
    <row r="13" spans="1:6" x14ac:dyDescent="0.3">
      <c r="A13" s="5">
        <v>3</v>
      </c>
      <c r="B13" s="5" t="s">
        <v>16</v>
      </c>
      <c r="C13" s="5" t="s">
        <v>14</v>
      </c>
      <c r="D13" s="5">
        <f>1/300</f>
        <v>3.3333333333333335E-3</v>
      </c>
      <c r="E13" s="7">
        <v>120000</v>
      </c>
      <c r="F13" s="8">
        <f>D13*E13</f>
        <v>400</v>
      </c>
    </row>
    <row r="14" spans="1:6" x14ac:dyDescent="0.3">
      <c r="A14" s="5">
        <v>4</v>
      </c>
      <c r="B14" s="5" t="s">
        <v>17</v>
      </c>
      <c r="C14" s="5" t="s">
        <v>10</v>
      </c>
      <c r="D14" s="5">
        <v>1</v>
      </c>
      <c r="E14" s="7">
        <v>0</v>
      </c>
      <c r="F14" s="8">
        <f>D14*E14</f>
        <v>0</v>
      </c>
    </row>
    <row r="15" spans="1:6" x14ac:dyDescent="0.3">
      <c r="A15" s="17" t="s">
        <v>18</v>
      </c>
      <c r="B15" s="17"/>
      <c r="C15" s="17"/>
      <c r="D15" s="17"/>
      <c r="E15" s="17"/>
      <c r="F15" s="9">
        <f>SUM(F11:F14)</f>
        <v>2166.666666666667</v>
      </c>
    </row>
    <row r="16" spans="1:6" x14ac:dyDescent="0.3">
      <c r="A16" s="5"/>
      <c r="B16" s="5"/>
      <c r="C16" s="5"/>
      <c r="D16" s="5"/>
      <c r="E16" s="10"/>
      <c r="F16" s="11"/>
    </row>
    <row r="17" spans="1:6" x14ac:dyDescent="0.3">
      <c r="A17" s="21" t="s">
        <v>19</v>
      </c>
      <c r="B17" s="21"/>
      <c r="C17" s="21"/>
      <c r="D17" s="21"/>
      <c r="E17" s="21"/>
      <c r="F17" s="21"/>
    </row>
    <row r="18" spans="1:6" x14ac:dyDescent="0.3">
      <c r="A18" s="6" t="s">
        <v>3</v>
      </c>
      <c r="B18" s="6" t="s">
        <v>4</v>
      </c>
      <c r="C18" s="6" t="s">
        <v>5</v>
      </c>
      <c r="D18" s="6" t="s">
        <v>6</v>
      </c>
      <c r="E18" s="12" t="s">
        <v>7</v>
      </c>
      <c r="F18" s="13" t="s">
        <v>8</v>
      </c>
    </row>
    <row r="19" spans="1:6" x14ac:dyDescent="0.3">
      <c r="A19" s="5">
        <v>1</v>
      </c>
      <c r="B19" s="5" t="s">
        <v>20</v>
      </c>
      <c r="C19" s="5" t="s">
        <v>21</v>
      </c>
      <c r="D19" s="5">
        <f>1/500</f>
        <v>2E-3</v>
      </c>
      <c r="E19" s="7">
        <v>1200000</v>
      </c>
      <c r="F19" s="8">
        <f>D19*E19</f>
        <v>2400</v>
      </c>
    </row>
    <row r="20" spans="1:6" x14ac:dyDescent="0.3">
      <c r="A20" s="17" t="s">
        <v>22</v>
      </c>
      <c r="B20" s="17"/>
      <c r="C20" s="17"/>
      <c r="D20" s="17"/>
      <c r="E20" s="17"/>
      <c r="F20" s="9">
        <f>F19</f>
        <v>2400</v>
      </c>
    </row>
    <row r="21" spans="1:6" x14ac:dyDescent="0.3">
      <c r="A21" s="5"/>
      <c r="B21" s="5"/>
      <c r="C21" s="5"/>
      <c r="D21" s="5"/>
      <c r="E21" s="10"/>
      <c r="F21" s="11"/>
    </row>
    <row r="22" spans="1:6" x14ac:dyDescent="0.3">
      <c r="A22" s="21" t="s">
        <v>23</v>
      </c>
      <c r="B22" s="21"/>
      <c r="C22" s="21"/>
      <c r="D22" s="21"/>
      <c r="E22" s="21"/>
      <c r="F22" s="21"/>
    </row>
    <row r="23" spans="1:6" x14ac:dyDescent="0.3">
      <c r="A23" s="6" t="s">
        <v>3</v>
      </c>
      <c r="B23" s="6" t="s">
        <v>4</v>
      </c>
      <c r="C23" s="6" t="s">
        <v>5</v>
      </c>
      <c r="D23" s="6" t="s">
        <v>6</v>
      </c>
      <c r="E23" s="12" t="s">
        <v>7</v>
      </c>
      <c r="F23" s="13" t="s">
        <v>8</v>
      </c>
    </row>
    <row r="24" spans="1:6" x14ac:dyDescent="0.3">
      <c r="A24" s="5">
        <v>1</v>
      </c>
      <c r="B24" s="5" t="s">
        <v>24</v>
      </c>
      <c r="C24" s="5" t="s">
        <v>14</v>
      </c>
      <c r="D24" s="5">
        <v>0.05</v>
      </c>
      <c r="E24" s="7">
        <v>143709</v>
      </c>
      <c r="F24" s="8">
        <f>D24*E24</f>
        <v>7185.4500000000007</v>
      </c>
    </row>
    <row r="25" spans="1:6" x14ac:dyDescent="0.3">
      <c r="A25" s="5">
        <v>2</v>
      </c>
      <c r="B25" s="5" t="s">
        <v>25</v>
      </c>
      <c r="C25" s="5" t="s">
        <v>14</v>
      </c>
      <c r="D25" s="5">
        <v>0.05</v>
      </c>
      <c r="E25" s="7">
        <v>127963</v>
      </c>
      <c r="F25" s="8">
        <f>D25*E25</f>
        <v>6398.1500000000005</v>
      </c>
    </row>
    <row r="26" spans="1:6" x14ac:dyDescent="0.3">
      <c r="A26" s="22" t="s">
        <v>26</v>
      </c>
      <c r="B26" s="17"/>
      <c r="C26" s="17"/>
      <c r="D26" s="17"/>
      <c r="E26" s="17"/>
      <c r="F26" s="9">
        <f>SUM(F24:F25)</f>
        <v>13583.600000000002</v>
      </c>
    </row>
    <row r="27" spans="1:6" x14ac:dyDescent="0.3">
      <c r="A27" s="5"/>
      <c r="B27" s="5"/>
      <c r="C27" s="5"/>
      <c r="D27" s="5"/>
      <c r="E27" s="5"/>
      <c r="F27" s="5"/>
    </row>
    <row r="28" spans="1:6" x14ac:dyDescent="0.3">
      <c r="A28" s="20" t="s">
        <v>27</v>
      </c>
      <c r="B28" s="21"/>
      <c r="C28" s="21"/>
      <c r="D28" s="21"/>
      <c r="E28" s="21"/>
      <c r="F28" s="21"/>
    </row>
    <row r="29" spans="1:6" x14ac:dyDescent="0.3">
      <c r="A29" s="17" t="s">
        <v>28</v>
      </c>
      <c r="B29" s="17"/>
      <c r="C29" s="17"/>
      <c r="D29" s="17"/>
      <c r="E29" s="17"/>
      <c r="F29" s="9">
        <f>F7+F15+F20+F26</f>
        <v>60480.266666666663</v>
      </c>
    </row>
    <row r="30" spans="1:6" x14ac:dyDescent="0.3">
      <c r="A30" s="17" t="s">
        <v>29</v>
      </c>
      <c r="B30" s="17"/>
      <c r="C30" s="17"/>
      <c r="D30" s="17"/>
      <c r="E30" s="17"/>
      <c r="F30" s="9">
        <f>F29*19%</f>
        <v>11491.250666666667</v>
      </c>
    </row>
    <row r="31" spans="1:6" x14ac:dyDescent="0.3">
      <c r="A31" s="17" t="s">
        <v>30</v>
      </c>
      <c r="B31" s="17"/>
      <c r="C31" s="17"/>
      <c r="D31" s="17"/>
      <c r="E31" s="17"/>
      <c r="F31" s="9">
        <f>F29+F30</f>
        <v>71971.517333333322</v>
      </c>
    </row>
    <row r="32" spans="1:6" x14ac:dyDescent="0.3">
      <c r="A32" s="5"/>
      <c r="B32" s="5"/>
      <c r="C32" s="5"/>
      <c r="D32" s="5"/>
      <c r="E32" s="10"/>
      <c r="F32" s="11"/>
    </row>
    <row r="33" spans="1:6" x14ac:dyDescent="0.3">
      <c r="A33" s="5"/>
      <c r="B33" s="5"/>
      <c r="C33" s="5"/>
      <c r="D33" s="5"/>
      <c r="E33" s="10"/>
      <c r="F33" s="11"/>
    </row>
    <row r="34" spans="1:6" x14ac:dyDescent="0.3">
      <c r="A34" s="23" t="s">
        <v>31</v>
      </c>
      <c r="B34" s="21"/>
      <c r="C34" s="21"/>
      <c r="D34" s="21"/>
      <c r="E34" s="21"/>
      <c r="F34" s="21"/>
    </row>
    <row r="35" spans="1:6" ht="37.950000000000003" customHeight="1" x14ac:dyDescent="0.3">
      <c r="A35" s="18" t="s">
        <v>32</v>
      </c>
      <c r="B35" s="19"/>
      <c r="C35" s="19"/>
      <c r="D35" s="19"/>
      <c r="E35" s="19"/>
      <c r="F35" s="19"/>
    </row>
    <row r="36" spans="1:6" ht="37.950000000000003" customHeight="1" x14ac:dyDescent="0.3">
      <c r="A36" s="18" t="s">
        <v>33</v>
      </c>
      <c r="B36" s="19"/>
      <c r="C36" s="19"/>
      <c r="D36" s="19"/>
      <c r="E36" s="19"/>
      <c r="F36" s="19"/>
    </row>
    <row r="37" spans="1:6" ht="37.950000000000003" customHeight="1" x14ac:dyDescent="0.3">
      <c r="A37" s="18" t="s">
        <v>34</v>
      </c>
      <c r="B37" s="19"/>
      <c r="C37" s="19"/>
      <c r="D37" s="19"/>
      <c r="E37" s="19"/>
      <c r="F37" s="19"/>
    </row>
    <row r="38" spans="1:6" ht="37.950000000000003" customHeight="1" x14ac:dyDescent="0.3">
      <c r="A38" s="18" t="s">
        <v>35</v>
      </c>
      <c r="B38" s="19"/>
      <c r="C38" s="19"/>
      <c r="D38" s="19"/>
      <c r="E38" s="19"/>
      <c r="F38" s="19"/>
    </row>
    <row r="39" spans="1:6" ht="37.950000000000003" customHeight="1" x14ac:dyDescent="0.3">
      <c r="A39" s="18" t="s">
        <v>36</v>
      </c>
      <c r="B39" s="19"/>
      <c r="C39" s="19"/>
      <c r="D39" s="19"/>
      <c r="E39" s="19"/>
      <c r="F39" s="19"/>
    </row>
    <row r="40" spans="1:6" ht="37.950000000000003" customHeight="1" x14ac:dyDescent="0.3">
      <c r="A40" s="18" t="s">
        <v>37</v>
      </c>
      <c r="B40" s="19"/>
      <c r="C40" s="19"/>
      <c r="D40" s="19"/>
      <c r="E40" s="19"/>
      <c r="F40" s="19"/>
    </row>
    <row r="41" spans="1:6" ht="37.950000000000003" customHeight="1" x14ac:dyDescent="0.3">
      <c r="A41" s="18" t="s">
        <v>38</v>
      </c>
      <c r="B41" s="19"/>
      <c r="C41" s="19"/>
      <c r="D41" s="19"/>
      <c r="E41" s="19"/>
      <c r="F41" s="19"/>
    </row>
    <row r="42" spans="1:6" ht="37.950000000000003" customHeight="1" x14ac:dyDescent="0.3">
      <c r="A42" s="18" t="s">
        <v>39</v>
      </c>
      <c r="B42" s="19"/>
      <c r="C42" s="19"/>
      <c r="D42" s="19"/>
      <c r="E42" s="19"/>
      <c r="F42" s="19"/>
    </row>
    <row r="43" spans="1:6" ht="37.950000000000003" customHeight="1" x14ac:dyDescent="0.3">
      <c r="A43" s="18" t="s">
        <v>40</v>
      </c>
      <c r="B43" s="19"/>
      <c r="C43" s="19"/>
      <c r="D43" s="19"/>
      <c r="E43" s="19"/>
      <c r="F43" s="19"/>
    </row>
    <row r="44" spans="1:6" ht="37.950000000000003" customHeight="1" x14ac:dyDescent="0.3">
      <c r="A44" s="15"/>
      <c r="B44" s="5"/>
      <c r="C44" s="5"/>
      <c r="D44" s="5"/>
      <c r="E44" s="5"/>
      <c r="F44" s="5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3"/>
      <c r="F46" s="4"/>
    </row>
    <row r="47" spans="1:6" x14ac:dyDescent="0.3">
      <c r="A47" s="1"/>
      <c r="B47" s="1"/>
      <c r="C47" s="1"/>
      <c r="D47" s="1"/>
      <c r="E47" s="3"/>
      <c r="F47" s="4"/>
    </row>
    <row r="48" spans="1:6" x14ac:dyDescent="0.3">
      <c r="A48" s="2"/>
      <c r="F48" s="4"/>
    </row>
    <row r="50" spans="1:6" x14ac:dyDescent="0.3">
      <c r="A50" s="2"/>
      <c r="F50" s="4"/>
    </row>
  </sheetData>
  <mergeCells count="24">
    <mergeCell ref="A43:F43"/>
    <mergeCell ref="A1:F1"/>
    <mergeCell ref="A22:F22"/>
    <mergeCell ref="A17:F17"/>
    <mergeCell ref="A35:F35"/>
    <mergeCell ref="A4:F4"/>
    <mergeCell ref="A31:E31"/>
    <mergeCell ref="A2:F2"/>
    <mergeCell ref="A29:E29"/>
    <mergeCell ref="A42:F42"/>
    <mergeCell ref="A20:E20"/>
    <mergeCell ref="A36:F36"/>
    <mergeCell ref="A7:E7"/>
    <mergeCell ref="A15:E15"/>
    <mergeCell ref="A37:F37"/>
    <mergeCell ref="A9:F9"/>
    <mergeCell ref="A34:F34"/>
    <mergeCell ref="A40:F40"/>
    <mergeCell ref="A39:F39"/>
    <mergeCell ref="A30:E30"/>
    <mergeCell ref="A38:F38"/>
    <mergeCell ref="A41:F41"/>
    <mergeCell ref="A28:F28"/>
    <mergeCell ref="A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8671875" defaultRowHeight="14.4" x14ac:dyDescent="0.3"/>
  <cols>
    <col min="1" max="1" width="32" customWidth="1"/>
    <col min="2" max="2" width="60" customWidth="1"/>
    <col min="3" max="3" width="45" customWidth="1"/>
    <col min="4" max="4" width="60" customWidth="1"/>
  </cols>
  <sheetData>
    <row r="1" spans="1:4" x14ac:dyDescent="0.3">
      <c r="A1" s="26" t="s">
        <v>41</v>
      </c>
      <c r="B1" s="26"/>
      <c r="C1" s="26"/>
      <c r="D1" s="26"/>
    </row>
    <row r="2" spans="1:4" x14ac:dyDescent="0.3">
      <c r="A2" s="14"/>
      <c r="B2" s="14"/>
      <c r="C2" s="14"/>
      <c r="D2" s="14"/>
    </row>
    <row r="3" spans="1:4" x14ac:dyDescent="0.3">
      <c r="A3" s="14" t="s">
        <v>42</v>
      </c>
      <c r="B3" s="14" t="s">
        <v>43</v>
      </c>
      <c r="C3" s="14" t="s">
        <v>44</v>
      </c>
      <c r="D3" s="14" t="s">
        <v>45</v>
      </c>
    </row>
    <row r="4" spans="1:4" ht="28.8" x14ac:dyDescent="0.3">
      <c r="A4" s="14" t="s">
        <v>46</v>
      </c>
      <c r="B4" s="14" t="s">
        <v>47</v>
      </c>
      <c r="C4" s="14" t="s">
        <v>48</v>
      </c>
      <c r="D4" s="14" t="s">
        <v>49</v>
      </c>
    </row>
    <row r="5" spans="1:4" x14ac:dyDescent="0.3">
      <c r="A5" s="14" t="s">
        <v>50</v>
      </c>
      <c r="B5" s="14" t="s">
        <v>51</v>
      </c>
      <c r="C5" s="14" t="s">
        <v>52</v>
      </c>
      <c r="D5" s="14" t="s">
        <v>53</v>
      </c>
    </row>
    <row r="6" spans="1:4" ht="28.8" x14ac:dyDescent="0.3">
      <c r="A6" s="14" t="s">
        <v>54</v>
      </c>
      <c r="B6" s="14" t="s">
        <v>55</v>
      </c>
      <c r="C6" s="14" t="s">
        <v>56</v>
      </c>
      <c r="D6" s="14" t="s">
        <v>57</v>
      </c>
    </row>
    <row r="7" spans="1:4" ht="28.8" x14ac:dyDescent="0.3">
      <c r="A7" s="14" t="s">
        <v>58</v>
      </c>
      <c r="B7" s="14" t="s">
        <v>59</v>
      </c>
      <c r="C7" s="14" t="s">
        <v>60</v>
      </c>
      <c r="D7" s="14" t="s">
        <v>61</v>
      </c>
    </row>
    <row r="8" spans="1:4" ht="28.8" x14ac:dyDescent="0.3">
      <c r="A8" s="14" t="s">
        <v>62</v>
      </c>
      <c r="B8" s="14" t="s">
        <v>63</v>
      </c>
      <c r="C8" s="14" t="s">
        <v>64</v>
      </c>
      <c r="D8" s="14" t="s">
        <v>65</v>
      </c>
    </row>
    <row r="9" spans="1:4" ht="28.8" x14ac:dyDescent="0.3">
      <c r="A9" s="14" t="s">
        <v>66</v>
      </c>
      <c r="B9" s="14" t="s">
        <v>67</v>
      </c>
      <c r="C9" s="14" t="s">
        <v>68</v>
      </c>
      <c r="D9" s="14" t="s">
        <v>69</v>
      </c>
    </row>
    <row r="10" spans="1:4" x14ac:dyDescent="0.3">
      <c r="A10" s="14" t="s">
        <v>70</v>
      </c>
      <c r="B10" s="14" t="s">
        <v>71</v>
      </c>
      <c r="C10" s="14" t="s">
        <v>72</v>
      </c>
      <c r="D10" s="14" t="s">
        <v>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88671875" defaultRowHeight="14.4" x14ac:dyDescent="0.3"/>
  <cols>
    <col min="1" max="1" width="32" customWidth="1"/>
    <col min="2" max="2" width="60" customWidth="1"/>
    <col min="3" max="3" width="45" customWidth="1"/>
    <col min="4" max="4" width="60" customWidth="1"/>
  </cols>
  <sheetData>
    <row r="1" spans="1:4" x14ac:dyDescent="0.3">
      <c r="A1" s="16" t="s">
        <v>74</v>
      </c>
      <c r="B1" s="16" t="s">
        <v>75</v>
      </c>
      <c r="C1" s="16" t="s">
        <v>5</v>
      </c>
      <c r="D1" s="16" t="s">
        <v>76</v>
      </c>
    </row>
    <row r="2" spans="1:4" x14ac:dyDescent="0.3">
      <c r="A2" s="14" t="s">
        <v>50</v>
      </c>
      <c r="B2" s="14">
        <v>41500</v>
      </c>
      <c r="C2" s="14" t="s">
        <v>77</v>
      </c>
      <c r="D2" s="14" t="s">
        <v>78</v>
      </c>
    </row>
    <row r="3" spans="1:4" x14ac:dyDescent="0.3">
      <c r="A3" s="14" t="s">
        <v>79</v>
      </c>
      <c r="B3" s="14">
        <v>0.02</v>
      </c>
      <c r="C3" s="14" t="s">
        <v>80</v>
      </c>
      <c r="D3" s="14" t="s">
        <v>81</v>
      </c>
    </row>
    <row r="4" spans="1:4" x14ac:dyDescent="0.3">
      <c r="A4" s="14" t="s">
        <v>82</v>
      </c>
      <c r="B4" s="14">
        <v>1.02</v>
      </c>
      <c r="C4" s="14" t="s">
        <v>83</v>
      </c>
      <c r="D4" s="14" t="s">
        <v>84</v>
      </c>
    </row>
    <row r="5" spans="1:4" x14ac:dyDescent="0.3">
      <c r="A5" s="14" t="s">
        <v>85</v>
      </c>
      <c r="B5" s="14">
        <v>300</v>
      </c>
      <c r="C5" s="14" t="s">
        <v>86</v>
      </c>
      <c r="D5" s="14" t="s">
        <v>87</v>
      </c>
    </row>
    <row r="6" spans="1:4" x14ac:dyDescent="0.3">
      <c r="A6" s="14" t="s">
        <v>88</v>
      </c>
      <c r="B6" s="14">
        <v>2</v>
      </c>
      <c r="C6" s="14" t="s">
        <v>89</v>
      </c>
      <c r="D6" s="14" t="s">
        <v>90</v>
      </c>
    </row>
    <row r="7" spans="1:4" x14ac:dyDescent="0.3">
      <c r="A7" s="14" t="s">
        <v>91</v>
      </c>
      <c r="B7" s="14">
        <v>2</v>
      </c>
      <c r="C7" s="14" t="s">
        <v>89</v>
      </c>
      <c r="D7" s="14" t="s">
        <v>90</v>
      </c>
    </row>
    <row r="8" spans="1:4" x14ac:dyDescent="0.3">
      <c r="A8" s="14" t="s">
        <v>92</v>
      </c>
      <c r="B8" s="14">
        <v>143709</v>
      </c>
      <c r="C8" s="14" t="s">
        <v>93</v>
      </c>
      <c r="D8" s="14" t="s">
        <v>94</v>
      </c>
    </row>
    <row r="9" spans="1:4" x14ac:dyDescent="0.3">
      <c r="A9" s="14" t="s">
        <v>95</v>
      </c>
      <c r="B9" s="14">
        <v>127963</v>
      </c>
      <c r="C9" s="14" t="s">
        <v>93</v>
      </c>
      <c r="D9" s="14" t="s">
        <v>96</v>
      </c>
    </row>
    <row r="10" spans="1:4" x14ac:dyDescent="0.3">
      <c r="A10" s="14" t="s">
        <v>97</v>
      </c>
      <c r="B10" s="14">
        <v>350000</v>
      </c>
      <c r="C10" s="14" t="s">
        <v>93</v>
      </c>
      <c r="D10" s="14" t="s">
        <v>98</v>
      </c>
    </row>
    <row r="11" spans="1:4" x14ac:dyDescent="0.3">
      <c r="A11" s="14" t="s">
        <v>99</v>
      </c>
      <c r="B11" s="14">
        <v>180000</v>
      </c>
      <c r="C11" s="14" t="s">
        <v>93</v>
      </c>
      <c r="D11" s="14" t="s">
        <v>98</v>
      </c>
    </row>
    <row r="12" spans="1:4" x14ac:dyDescent="0.3">
      <c r="A12" s="14" t="s">
        <v>100</v>
      </c>
      <c r="B12" s="14">
        <v>120000</v>
      </c>
      <c r="C12" s="14" t="s">
        <v>93</v>
      </c>
      <c r="D12" s="14" t="s">
        <v>98</v>
      </c>
    </row>
    <row r="13" spans="1:4" x14ac:dyDescent="0.3">
      <c r="A13" s="14" t="s">
        <v>70</v>
      </c>
      <c r="B13" s="14">
        <v>1200000</v>
      </c>
      <c r="C13" s="14" t="s">
        <v>101</v>
      </c>
      <c r="D13" s="14" t="s">
        <v>102</v>
      </c>
    </row>
    <row r="14" spans="1:4" x14ac:dyDescent="0.3">
      <c r="A14" s="14" t="s">
        <v>103</v>
      </c>
      <c r="B14" s="14">
        <v>500</v>
      </c>
      <c r="C14" s="14" t="s">
        <v>104</v>
      </c>
      <c r="D14" s="14" t="s">
        <v>105</v>
      </c>
    </row>
    <row r="15" spans="1:4" x14ac:dyDescent="0.3">
      <c r="A15" s="14" t="s">
        <v>106</v>
      </c>
      <c r="B15" s="14">
        <f>B13/B14</f>
        <v>2400</v>
      </c>
      <c r="C15" s="14" t="s">
        <v>77</v>
      </c>
      <c r="D15" s="14" t="s">
        <v>107</v>
      </c>
    </row>
    <row r="16" spans="1:4" x14ac:dyDescent="0.3">
      <c r="A16" s="14" t="s">
        <v>108</v>
      </c>
      <c r="B16" s="14">
        <v>0.19</v>
      </c>
      <c r="C16" s="14" t="s">
        <v>80</v>
      </c>
      <c r="D16" s="1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APU</vt:lpstr>
      <vt:lpstr>FUENTES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juliio cesar bustamante cortina</dc:creator>
  <cp:lastModifiedBy>juliio cesar bustamante cortina</cp:lastModifiedBy>
  <dcterms:created xsi:type="dcterms:W3CDTF">2026-09-06T13:47:59Z</dcterms:created>
  <dcterms:modified xsi:type="dcterms:W3CDTF">2026-09-07T00:48:49Z</dcterms:modified>
</cp:coreProperties>
</file>